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tudk-my.sharepoint.com/personal/ageab_dtu_dk/Documents/Skrivebord/Ethiopia_zimbabwe_GEP/"/>
    </mc:Choice>
  </mc:AlternateContent>
  <xr:revisionPtr revIDLastSave="8" documentId="13_ncr:1_{5F058E73-3D85-4BB9-B95F-FCC841C836EF}" xr6:coauthVersionLast="47" xr6:coauthVersionMax="47" xr10:uidLastSave="{E4EE11DD-6CF3-4CCE-B06F-111EDE36E57E}"/>
  <bookViews>
    <workbookView xWindow="27560" yWindow="1150" windowWidth="21600" windowHeight="12530" firstSheet="1" activeTab="3" xr2:uid="{00000000-000D-0000-FFFF-FFFF00000000}"/>
  </bookViews>
  <sheets>
    <sheet name="Glossary" sheetId="1" r:id="rId1"/>
    <sheet name="Nomenclature" sheetId="2" r:id="rId2"/>
    <sheet name="InvCost($kW)" sheetId="3" r:id="rId3"/>
    <sheet name="Cost1" sheetId="4" r:id="rId4"/>
    <sheet name="Conversion" sheetId="5" r:id="rId5"/>
    <sheet name="retirement" sheetId="6" r:id="rId6"/>
    <sheet name="demand" sheetId="7" r:id="rId7"/>
    <sheet name="Assumption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3" l="1"/>
  <c r="E29" i="3"/>
  <c r="D29" i="3"/>
  <c r="C29" i="3"/>
  <c r="B29" i="3"/>
</calcChain>
</file>

<file path=xl/sharedStrings.xml><?xml version="1.0" encoding="utf-8"?>
<sst xmlns="http://schemas.openxmlformats.org/spreadsheetml/2006/main" count="457" uniqueCount="365">
  <si>
    <t>Acronym</t>
  </si>
  <si>
    <t>Definition</t>
  </si>
  <si>
    <t>kV</t>
  </si>
  <si>
    <t>Kilovolt</t>
  </si>
  <si>
    <t>kW</t>
  </si>
  <si>
    <t>Kilowatt</t>
  </si>
  <si>
    <t>kWh</t>
  </si>
  <si>
    <t>Kilowatt hour</t>
  </si>
  <si>
    <t>MW</t>
  </si>
  <si>
    <t>MegaWatt</t>
  </si>
  <si>
    <t>MWh</t>
  </si>
  <si>
    <t>MegaWatt Hour</t>
  </si>
  <si>
    <t>1MWh = 3.6*10^9 J</t>
  </si>
  <si>
    <t>GW</t>
  </si>
  <si>
    <t>GigaWatt</t>
  </si>
  <si>
    <t>GWh</t>
  </si>
  <si>
    <t>GigaWatt Hour</t>
  </si>
  <si>
    <t>1 GWh = 1000MWh</t>
  </si>
  <si>
    <t>GJ</t>
  </si>
  <si>
    <t>Giga Joule</t>
  </si>
  <si>
    <t>PJ</t>
  </si>
  <si>
    <t>Peta Joule</t>
  </si>
  <si>
    <t>1 PJ = 10^15 J</t>
  </si>
  <si>
    <t>CCS</t>
  </si>
  <si>
    <t>Carbon Capture and Storage</t>
  </si>
  <si>
    <t>CCGT</t>
  </si>
  <si>
    <t>Combined Cycle Gas Turbine</t>
  </si>
  <si>
    <t>OCGT</t>
  </si>
  <si>
    <t>Open Cycle Gas Turbine</t>
  </si>
  <si>
    <t>HHV</t>
  </si>
  <si>
    <t>Higher Heating Value</t>
  </si>
  <si>
    <t>CO2e</t>
  </si>
  <si>
    <t xml:space="preserve">Carbon Dioxide Equivalent </t>
  </si>
  <si>
    <t>kg</t>
  </si>
  <si>
    <t>Kilogram</t>
  </si>
  <si>
    <t>CAPEX</t>
  </si>
  <si>
    <t>Capital Expenditure</t>
  </si>
  <si>
    <t>OPEX</t>
  </si>
  <si>
    <t>Operational Expenditure</t>
  </si>
  <si>
    <t>PC</t>
  </si>
  <si>
    <t>Pulverised Coal</t>
  </si>
  <si>
    <t>Summer</t>
  </si>
  <si>
    <t>December to March</t>
  </si>
  <si>
    <t>Not Summer</t>
  </si>
  <si>
    <t>April to November</t>
  </si>
  <si>
    <t xml:space="preserve">Abbreviations </t>
  </si>
  <si>
    <t>ABS</t>
  </si>
  <si>
    <t>Australian Bureau of Statistics</t>
  </si>
  <si>
    <t xml:space="preserve">AEMO </t>
  </si>
  <si>
    <t>Australian Energy Market Operator</t>
  </si>
  <si>
    <t>APR</t>
  </si>
  <si>
    <t>Annual Planning Report</t>
  </si>
  <si>
    <t>AQP</t>
  </si>
  <si>
    <t>Applications and Queuing Policy</t>
  </si>
  <si>
    <t>BIS Oxford</t>
  </si>
  <si>
    <t>Bis Oxford Economics</t>
  </si>
  <si>
    <t>BOM</t>
  </si>
  <si>
    <t>Bureau of Meteorology</t>
  </si>
  <si>
    <t>CDD</t>
  </si>
  <si>
    <t>Cooling degree day</t>
  </si>
  <si>
    <t>CRC</t>
  </si>
  <si>
    <t>Certified Reserve Capacity</t>
  </si>
  <si>
    <t xml:space="preserve">CSIRO </t>
  </si>
  <si>
    <t>Commonwealth Scientific and Industrial Research Organisation</t>
  </si>
  <si>
    <t>DER</t>
  </si>
  <si>
    <t>Distributed energy resources</t>
  </si>
  <si>
    <t>DMO</t>
  </si>
  <si>
    <t>Distribution Market Operator</t>
  </si>
  <si>
    <t>DSM</t>
  </si>
  <si>
    <t>Demand Side Management</t>
  </si>
  <si>
    <t>DSO</t>
  </si>
  <si>
    <t>Distribution System Operator</t>
  </si>
  <si>
    <t xml:space="preserve">DSP </t>
  </si>
  <si>
    <t>Demand Side Programme</t>
  </si>
  <si>
    <t>EDDQ</t>
  </si>
  <si>
    <t>Expected DSM Dispatch Quantity</t>
  </si>
  <si>
    <t>EOI</t>
  </si>
  <si>
    <t>Expressions of Interest</t>
  </si>
  <si>
    <t>ERA</t>
  </si>
  <si>
    <t>Economic Regulation Authority</t>
  </si>
  <si>
    <t>ESOO</t>
  </si>
  <si>
    <t>Electricity Statement of Opportunities</t>
  </si>
  <si>
    <t>ESS</t>
  </si>
  <si>
    <t>Essential System Service</t>
  </si>
  <si>
    <t>EUE</t>
  </si>
  <si>
    <t>Expected unserved energy</t>
  </si>
  <si>
    <t>EV</t>
  </si>
  <si>
    <t>Electric vehicle</t>
  </si>
  <si>
    <t>GEM</t>
  </si>
  <si>
    <t>Green Energy Markets</t>
  </si>
  <si>
    <t>GIA</t>
  </si>
  <si>
    <t>Generator Interim Access</t>
  </si>
  <si>
    <t>GSP</t>
  </si>
  <si>
    <t>Gross state product</t>
  </si>
  <si>
    <t>HDD</t>
  </si>
  <si>
    <t>Heating degree day</t>
  </si>
  <si>
    <t>INSG</t>
  </si>
  <si>
    <t>Intermittent Non-Scheduled Generator</t>
  </si>
  <si>
    <t>IRCR</t>
  </si>
  <si>
    <t>Individual Reserve Capacity Requirement</t>
  </si>
  <si>
    <t>LDC</t>
  </si>
  <si>
    <t>Load duration curve</t>
  </si>
  <si>
    <t>LFAS</t>
  </si>
  <si>
    <t>Load Following Ancillary Service</t>
  </si>
  <si>
    <t>NEM</t>
  </si>
  <si>
    <t>National Electricity Market</t>
  </si>
  <si>
    <t>NCS</t>
  </si>
  <si>
    <t>Network Control Services</t>
  </si>
  <si>
    <t>NSG</t>
  </si>
  <si>
    <t>Non-Scheduled Generator</t>
  </si>
  <si>
    <t>PASA</t>
  </si>
  <si>
    <t>Projected Assessment of System Adequacy</t>
  </si>
  <si>
    <t xml:space="preserve">POE </t>
  </si>
  <si>
    <t>Probability of exceedance</t>
  </si>
  <si>
    <t>PV</t>
  </si>
  <si>
    <t>Photovoltaic</t>
  </si>
  <si>
    <t>RBP</t>
  </si>
  <si>
    <t>Robinson Bowmaker Paul</t>
  </si>
  <si>
    <t>RCM</t>
  </si>
  <si>
    <t>Reserve Capacity Mechanism</t>
  </si>
  <si>
    <t>RCP</t>
  </si>
  <si>
    <t>Reserve Capacity Price</t>
  </si>
  <si>
    <t>RCR</t>
  </si>
  <si>
    <t>Reserve Capacity Requirement</t>
  </si>
  <si>
    <t>RCT</t>
  </si>
  <si>
    <t>Reserve Capacity Target</t>
  </si>
  <si>
    <t>SG</t>
  </si>
  <si>
    <t>Scheduled Generator</t>
  </si>
  <si>
    <t>SWIS</t>
  </si>
  <si>
    <t>South West interconnected system</t>
  </si>
  <si>
    <t>TSOG</t>
  </si>
  <si>
    <t>Total Sent Out Generation</t>
  </si>
  <si>
    <t>WEM</t>
  </si>
  <si>
    <t>Wholesale Electricity Market</t>
  </si>
  <si>
    <t>Indices</t>
  </si>
  <si>
    <t>y, Y</t>
  </si>
  <si>
    <t>Years</t>
  </si>
  <si>
    <t>t, T</t>
  </si>
  <si>
    <t>Time periods in each year</t>
  </si>
  <si>
    <t>s, S</t>
  </si>
  <si>
    <t>State</t>
  </si>
  <si>
    <t>i, I</t>
  </si>
  <si>
    <t>Generation types</t>
  </si>
  <si>
    <t>ir, Ir</t>
  </si>
  <si>
    <t>Renewable generation types (subset of i)</t>
  </si>
  <si>
    <t>e, E</t>
  </si>
  <si>
    <t>Emission gases</t>
  </si>
  <si>
    <t xml:space="preserve">Decision Variables </t>
  </si>
  <si>
    <t>GA</t>
  </si>
  <si>
    <t>Generation amount (MWh)</t>
  </si>
  <si>
    <t>IA</t>
  </si>
  <si>
    <t>Investment amount (MW)</t>
  </si>
  <si>
    <t>TF</t>
  </si>
  <si>
    <t>Transmission flow (MWh)</t>
  </si>
  <si>
    <t>Parameters</t>
  </si>
  <si>
    <t>r</t>
  </si>
  <si>
    <t>Interest rate</t>
  </si>
  <si>
    <t>GenCost</t>
  </si>
  <si>
    <t>Generation variable cost ($/MWh)</t>
  </si>
  <si>
    <t>InvCost</t>
  </si>
  <si>
    <t>Investment cost ($/MW)</t>
  </si>
  <si>
    <t>Init</t>
  </si>
  <si>
    <t>Initial capacity (MW)</t>
  </si>
  <si>
    <t>Opex</t>
  </si>
  <si>
    <t>Fixed operation and maintenance cost for existing generator</t>
  </si>
  <si>
    <t>Opnew</t>
  </si>
  <si>
    <t>Fixed operation and maintenance cost for new generator</t>
  </si>
  <si>
    <t>phi</t>
  </si>
  <si>
    <t>Demand</t>
  </si>
  <si>
    <t>d</t>
  </si>
  <si>
    <t>Outage rate</t>
  </si>
  <si>
    <t>h</t>
  </si>
  <si>
    <t>Hours</t>
  </si>
  <si>
    <t>cf</t>
  </si>
  <si>
    <t>Capacity factor</t>
  </si>
  <si>
    <t>peak</t>
  </si>
  <si>
    <t>Peak load</t>
  </si>
  <si>
    <t>rm</t>
  </si>
  <si>
    <t>Reserve margin</t>
  </si>
  <si>
    <t>RET</t>
  </si>
  <si>
    <t>Renewable energy target (MWh)</t>
  </si>
  <si>
    <t>EM</t>
  </si>
  <si>
    <t>Amount of emission gas</t>
  </si>
  <si>
    <t>LEM</t>
  </si>
  <si>
    <t>Limit of emission gas (kg)</t>
  </si>
  <si>
    <t>TL</t>
  </si>
  <si>
    <t>Transmission limit</t>
  </si>
  <si>
    <t>CL</t>
  </si>
  <si>
    <t>Construction limit</t>
  </si>
  <si>
    <t>Y</t>
  </si>
  <si>
    <t>Hydro</t>
  </si>
  <si>
    <t>Wind</t>
  </si>
  <si>
    <t>Solar</t>
  </si>
  <si>
    <t>Geothermal</t>
  </si>
  <si>
    <t>Bioenergy</t>
  </si>
  <si>
    <t>Region</t>
  </si>
  <si>
    <t>Technology type</t>
  </si>
  <si>
    <t>Init (MW)</t>
  </si>
  <si>
    <t>EM (kg/MWh)</t>
  </si>
  <si>
    <t>InvCost ($/MW)</t>
  </si>
  <si>
    <t>GenCost ($/MWh)</t>
  </si>
  <si>
    <t>Opex ($/kWh)</t>
  </si>
  <si>
    <t>Opnew ($/MWh)</t>
  </si>
  <si>
    <t>Transmission cost ($/MWh)</t>
  </si>
  <si>
    <t xml:space="preserve">Demand 2024 (MWh) </t>
  </si>
  <si>
    <t>TranAmount  (MWh)</t>
  </si>
  <si>
    <t>GenAmount 2025 (MWh)</t>
  </si>
  <si>
    <t>percentage (by Init for each state)</t>
  </si>
  <si>
    <t>percentage (by Init for each technology)</t>
  </si>
  <si>
    <t xml:space="preserve">variable OPEX </t>
  </si>
  <si>
    <t>fuel ($/GJ)</t>
  </si>
  <si>
    <t>fuel ($/MWh)</t>
  </si>
  <si>
    <t>GenCost  previous used</t>
  </si>
  <si>
    <t>SRMC</t>
  </si>
  <si>
    <t>ETH</t>
  </si>
  <si>
    <t>A_0 (MW)</t>
  </si>
  <si>
    <t>a=cf(1-d)h</t>
  </si>
  <si>
    <t>b=A_0*a</t>
  </si>
  <si>
    <t>a_new</t>
  </si>
  <si>
    <t>xinit_ub</t>
  </si>
  <si>
    <t>xinit_lb</t>
  </si>
  <si>
    <t>times</t>
  </si>
  <si>
    <t>ave_cap</t>
  </si>
  <si>
    <t>max_cap</t>
  </si>
  <si>
    <t>old_ub</t>
  </si>
  <si>
    <t>Central</t>
  </si>
  <si>
    <t>Fast change</t>
  </si>
  <si>
    <t>Ethiopia Generation Expansion Planning — Data Assumptions and Sources</t>
  </si>
  <si>
    <t>Long-term planning values for the GEP-SDDP model (2025–2050 horizon). Each section documents the value adopted in the corresponding sheet, the operational range observed in real Ethiopia / regional data, and the primary source. Where the original Excel value differed materially from current Ethiopia reality, the change is noted with justification. The data structure mirrors Sun et al. (2025) NSW reference exactly, with Ethiopia's renewable-only generation mix (Hydro, Wind, Solar, Geothermal, Bioenergy) replacing NSW's coal/gas-inclusive mix.</t>
  </si>
  <si>
    <t>SECTION 1: Initial Capacity and Resource Potential (Cost1!Init, Conversion!xinit_ub)</t>
  </si>
  <si>
    <t>Technology</t>
  </si>
  <si>
    <t>xinit_ub (MW)</t>
  </si>
  <si>
    <t>Operational basis</t>
  </si>
  <si>
    <t>Justification</t>
  </si>
  <si>
    <t>Source(s)</t>
  </si>
  <si>
    <t>Includes operational ~5400 MW + GERD full 5150 MW (partial 2350 MW spinning 2024)</t>
  </si>
  <si>
    <t>Ethiopia's long-term planning baseline assumes GERD reaches full capacity (5150 MW) plus existing fleet (Gibe I-III, Tana Beles, Tekeze, Aluaji, Melka Wakana, etc.). Total operational + commissioning hydro = 9213 MW. Resource potential of 45 GW restricted to 15 GW xinit_ub representing economically/socially feasible additions to 2050 (Batoka, Mendaia, Karadobi pipeline plus small hydro).</t>
  </si>
  <si>
    <t>Ethiopian Electric Power (EEP); IRENA Statistical Profile Ethiopia 2024; CRGE 25 GW renewables target by 2030 (2010-2030 strategy).</t>
  </si>
  <si>
    <t>Adama I/II (204 MW), Ashegoda (120 MW), Aysha (120 MW), Adama III (53 MW)</t>
  </si>
  <si>
    <t>Operational fleet 502 MW as of 2024. CRGE/NDC target 2 GW wind by 2030; xinit_ub of 10 GW reflects Rift Valley wind atlas (Mekelle, Adama, Aysha corridors with 7-9 m/s mean wind speeds).</t>
  </si>
  <si>
    <t>IRENA Ethiopia Statistical Profile 2024 (576 GWh wind generation 2023); Ethiopia Wind Atlas (Solargis/World Bank ESMAP).</t>
  </si>
  <si>
    <t>Ashegoda 8.5 MW, scattered mini-grid PV</t>
  </si>
  <si>
    <t>Currently nascent (10 MW operational). Ethiopia GHI 5.0-5.4 kWh/m²/d nationwide. xinit_ub of 10 GW conservative given 5,000+ km² of high-GHI flat land in Afar, Somali and Oromia regions.</t>
  </si>
  <si>
    <t>IRENA Ethiopia 2024 (34 GWh PV gen 2023); Ethiopia Solar Atlas (World Bank ESMAP); CRGE 1 GW solar by 2030.</t>
  </si>
  <si>
    <t>Aluto-Langano-1 pilot 7.3 MW (mostly mothballed; under refurbishment)</t>
  </si>
  <si>
    <t>Aluto-Langano-1 (1998 commissioning) was largely offline 2018-2024 due to corrosion; under $184M expansion to 35-70 MW. Tulu-Moye 50-150 MW under development. Corbetti 500 MW exploration. Government identifies 24 sites with 10 GW theoretical; xinit_ub 3 GW realistic to 2050.</t>
  </si>
  <si>
    <t>EEP Aluto Geothermal Sector Development Project; ThinkGeoEnergy 2023; FurtherAfrica/Mining Minister statement 2022 (10 GW theoretical, 3.5 GW target by 2030).</t>
  </si>
  <si>
    <t>Sugar cogen (Wonji-Shoa, Metahara, Finchaa, Tendaho)</t>
  </si>
  <si>
    <t>Sugar industry bagasse cogeneration ~25 MW operational. Ethiopia has 5 sugar estates and limited wood/agro-residue grid feed-in; xinit_ub 1 GW reflects sustainable biomass supply ceiling.</t>
  </si>
  <si>
    <t>IRENA Ethiopia 2024 (14 GWh bioenergy gen 2023); Ethiopian Sugar Corporation; FAO Forestry Outlook Ethiopia.</t>
  </si>
  <si>
    <t>SECTION 2: Capacity Factors (Conversion!a=cf(1-d)h column)</t>
  </si>
  <si>
    <t>CF adopted</t>
  </si>
  <si>
    <t>alpha (h/yr)</t>
  </si>
  <si>
    <t>Operational range</t>
  </si>
  <si>
    <t>0.21 (2024 actual, drought + GERD partial); 0.55-0.65 (long-term Africa avg pre-drought)</t>
  </si>
  <si>
    <t>Long-term planning value reflecting GERD-inclusive fleet at design availability. The 2024 actual CF of 0.21 reflects partial GERD operation and drought conditions; not appropriate for 26-year horizon. IRENA reports global hydropower 2024 CF=0.39 (declining due to climate change), but Ethiopia's GERD/Tekeze/Tana Beles design CFs are 0.50-0.60. Conservative 0.48 chosen.</t>
  </si>
  <si>
    <t>IRENA Renewable Power Generation Costs in 2024 (global hydro CF 0.39); EEP plant load factor stated 0.50-0.60 design; UNESCO World Water Development Report 2024.</t>
  </si>
  <si>
    <t>0.30-0.40 (Ethiopia rift wind regimes); 0.34 (IRENA SSA average 2024)</t>
  </si>
  <si>
    <t>Reflects mid-range of Ethiopia's rift-valley wind regimes. Adama and Aysha sites have 7-9 m/s mean wind speeds suitable for 0.32-0.38 CF utility-scale wind. Within IRENA SSA reference range 0.30-0.40.</t>
  </si>
  <si>
    <t>IRENA Renewable Power Generation Costs in 2024 (onshore wind global CF 0.32); Ethiopia Wind Atlas; AfDB Wind Power Africa Outlook.</t>
  </si>
  <si>
    <t>0.20-0.27 (utility-scale fixed-tilt)</t>
  </si>
  <si>
    <t>Utility-scale fixed-tilt PV at Ethiopia latitude (3-15°N) with GHI 5.0-5.4 kWh/m²/d. Single-axis tracking would give 0.25-0.27. Conservative 0.225 for fixed-tilt is appropriate for early-horizon deployments. Within IRENA SSA reference range.</t>
  </si>
  <si>
    <t>IRENA Renewable Power Generation Costs in 2024 (solar PV global CF 0.18); Ethiopia Solar Atlas (Solargis); AfDB Solar Power Africa.</t>
  </si>
  <si>
    <t>0.85-0.92 (typical baseload geothermal); 0.85+ (Aluto/Tulu-Moye design)</t>
  </si>
  <si>
    <t>Geothermal is genuinely baseload — only down for maintenance. 0.88 reflects typical operational geothermal in well-managed steamfields (Olkaria Kenya, Hellisheidi Iceland operate 0.90+). UNCHANGED from user value.</t>
  </si>
  <si>
    <t>IRENA Geothermal Technology Brief; KenGen Olkaria operational data; Aluto-Langano design specifications.</t>
  </si>
  <si>
    <t>0.40-0.55 (sugar bagasse cogen, seasonal); 0.65-0.80 (wood-pellet baseload)</t>
  </si>
  <si>
    <t>CHANGED from user's 0.73 (which implied wood-pellet-dominant operation). Ethiopia's biomass mix is bagasse-heavy: sugar cogen runs ~5-6 months/yr (CF 0.40-0.55). Mixed bagasse + agro-residue + limited wood gives realistic 0.50-0.60. Adopted: 0.55 (mid-range).</t>
  </si>
  <si>
    <t>IRENA Bioenergy SSA Outlook 2024; FAO Forestry Outlook Ethiopia; Ethiopian Sugar Corporation operational reports.</t>
  </si>
  <si>
    <t>SECTION 3: Investment Cost (InvCost($kW) sheet — year-by-year $/kW)</t>
  </si>
  <si>
    <t>Year-1 (2025) $/kW</t>
  </si>
  <si>
    <t>Year-26 (2050) $/kW</t>
  </si>
  <si>
    <t>Trend</t>
  </si>
  <si>
    <t>Modest decline (–17% over 26 yr)</t>
  </si>
  <si>
    <t>Energypedia: Ethiopia hydro ~$1,200/kW (about half of E. Africa avg $2,500/kW) due to favorable topography for civil works. IRENA 2024 global hydro CapEx $2,852/kW (up from $1,704 in 2010 due to large-project cost overruns). Ethiopia's site-specific cost advantage is structural (rivers + headwater + ridges), so 2050 endpoint $1,000/kW reflects steady learning. CHANGED from user's $1691/kW which was Sun et al.'s NSW value.</t>
  </si>
  <si>
    <t>Energypedia "Ethiopia Energy Situation" (specific cost USD 1,200/kW); IRENA Renewable Power Generation Costs 2024 (Table S1 hydro TIC); IRENA Hydropower Technology Brief.</t>
  </si>
  <si>
    <t>Steady decline (–31% over 26 yr)</t>
  </si>
  <si>
    <t>IRENA 2024: global onshore wind TIC $1,041/kW; Asia projection $850/kW by 2026. Ethiopia includes import duties + grid integration premium → $1,300/kW year-1. Long-term convergence to $900/kW reflects continued Chinese turbine cost decline. UNCHANGED from user value.</t>
  </si>
  <si>
    <t>IRENA Renewable Power Generation Costs 2024 (Table S1 wind onshore $1,041/kW global, Asia $850/kW projection); Energy Tracker Asia 2025 summary.</t>
  </si>
  <si>
    <t>Steady decline (–56% over 26 yr)</t>
  </si>
  <si>
    <t>IRENA 2024 global solar PV TIC $691/kW; Asia projection $500/kW by 2026; $388/kW by 2030. SSA premium 2-3x developed-country prices per Global Solar Council 2025. Egypt Benban park achieved $700/kW (2018-2020); South Africa REIPPPP rounds 4-7 averaged $720/kW. Ethiopia 2025 placed at $900/kW reflecting moderate premium for landlocked transport and currency, between Egypt/SA and SSA mid-tier. 2050 endpoint $400/kW reflects continued global learning post-2030.</t>
  </si>
  <si>
    <t>IRENA Renewable Power Generation Costs 2024 (Table S1: solar PV TIC $691/kW global); Global Solar Council Africa Market Outlook for Solar PV 2025-2028 (Africa CapEx 3-7x developed); Statista/IRENA 2023 utility-scale solar by country; pv-magazine REIPPPP Round 7 (Jan 2025).</t>
  </si>
  <si>
    <t>Modest decline (–13% over 26 yr)</t>
  </si>
  <si>
    <t>CHANGED from user's $3,000/kW to $4,000/kW based on Kenya operational benchmarks. Olkaria VII (Kenya, 2024 announcement): $248M / 80.3 MW = $3,090/kW (single-plant marginal). Olkaria I extension (2016): $309.6M / 70 MW = $4,420/kW. KenGen 4-plant 400MW program 2021-2025: $2B / 400 MW = $5,000/kW (greenfield with drilling). Aluto-Langano Phase 1 expansion: $184M / 35 MW = $5,257/kW (full project). Ethiopia 2025 placed at $4,000/kW: mid-range between mature brownfield (Olkaria) and greenfield with full drilling+exploration burden. 2050 endpoint $3,500/kW: KenGen reduced drilling cost 40% via rig acquisition; modest learning expected.</t>
  </si>
  <si>
    <t>World-energy.org/ThinkGeoEnergy 2024 (Olkaria VII $248M/80.3MW); Geothermal Resources Council 2016 (Olkaria I extension $309.6M/70MW); Energy News Network 2022 (KenGen $2B/400MW plan); FurtherAfrica 2022 (Aluto-Langano $184M/35MW Phase 1); The Star Kenya 2016 (KenGen drilling cost reduction $6M -&gt; $3.5M per well); Genetu (2025) Geological Journal — Aluto-Langano and Tulu-Moye assessment.</t>
  </si>
  <si>
    <t>Modest decline (–10% over 26 yr)</t>
  </si>
  <si>
    <t>Bioenergy is a mature technology (steam Rankine cycle); CapEx is dominated by boiler + grate + turbine. IRENA 2024 SSA reference $2,000-2,500/kW for biomass cogen. Limited learning expected; mostly fuel-supply optimization.</t>
  </si>
  <si>
    <t>IRENA SSA Bioenergy Outlook 2024 (TIC $2,000-2,500/kW); Ethiopian Sugar Corporation cogen unit costs.</t>
  </si>
  <si>
    <t>SECTION 4: Variable Cost (Cost1!GenCost ($/MWh)) and Fixed O&amp;M (Cost1!Opex ($/kW/yr))</t>
  </si>
  <si>
    <t>Opex ($/kW/yr)</t>
  </si>
  <si>
    <t>(blank)</t>
  </si>
  <si>
    <t>Hydro variable cost reflects only operations (water free); 30 $/kW/yr fixed O&amp;M is 2.5% of $1,200 CapEx, matching IRENA hydropower brief (1-4% of TIC).</t>
  </si>
  <si>
    <t>IRENA Hydropower Technology Brief; Ethiopian Electric Power operational cost data.</t>
  </si>
  <si>
    <t>Wind variable cost minimal (no fuel); $25/kW/yr fixed O&amp;M ~2% of CapEx, IRENA SSA reference.</t>
  </si>
  <si>
    <t>IRENA Renewable Power Generation Costs 2024 (wind O&amp;M 2-3% of TIC).</t>
  </si>
  <si>
    <t>Solar variable cost ~$1-2/MWh (mainly inverter/cleaning); $15/kW/yr fixed O&amp;M is 1.4% of CapEx, lower than wind due to no moving parts.</t>
  </si>
  <si>
    <t>IRENA Renewable Power Generation Costs 2024 (solar PV O&amp;M 1-2% of TIC).</t>
  </si>
  <si>
    <t>Geothermal variable cost from steamfield operation + chemicals; $40/kW/yr fixed O&amp;M reflects steamfield maintenance and well workovers.</t>
  </si>
  <si>
    <t>IRENA Geothermal Technology Brief; KenGen Kenya operational reports.</t>
  </si>
  <si>
    <t>Bioenergy GenCost dominated by fuel: bagasse $0/GJ (sugar industry waste) but wood/agro-residue $1.5/GJ × ~12 GJ/MWh ≈ $18/MWh fuel + $12/MWh non-fuel variable. Fixed O&amp;M $45/kW/yr reflects fuel handling and ash disposal.</t>
  </si>
  <si>
    <t>IRENA SSA Bioenergy Outlook 2024; Ethiopian Sugar Corporation; FAO biomass cost data.</t>
  </si>
  <si>
    <t>SECTION 5: Emissions (Cost1!EM (kg CO2eq/MWh))</t>
  </si>
  <si>
    <t>Operational emissions zero; reservoir methane not modeled (small in Ethiopia's mostly run-of-river / high-altitude reservoirs).</t>
  </si>
  <si>
    <t>IPCC AR6 hydropower lifecycle emissions (high-altitude tropical: 1-50 kg/MWh).</t>
  </si>
  <si>
    <t>Zero operational emissions.</t>
  </si>
  <si>
    <t>IPCC AR6.</t>
  </si>
  <si>
    <t>Low for high-temperature hydrothermal systems (Aluto-Langano, Tulu-Moye). Some non-condensable gas (CO2, H2S) from deep fluids. IRENA range 5-90 kg/MWh.</t>
  </si>
  <si>
    <t>IRENA Geothermal Technology Brief; IPCC AR6 (hydrothermal: 5-90 kg/MWh).</t>
  </si>
  <si>
    <t>Bagasse / agricultural residue combustion. Treated as net-positive (not zero) per Ethiopian NDC accounting. Wood-only combustion would be 1100 kg/MWh; bagasse-only 50-100 kg/MWh; mixed portfolio 230 kg/MWh.</t>
  </si>
  <si>
    <t>IPCC AR6 bioenergy lifecycle; FAO Bioenergy Sustainability Indicators 2024.</t>
  </si>
  <si>
    <t>SECTION 6: Demand Path (demand sheet — Y, Central, Fast change columns)</t>
  </si>
  <si>
    <t>Year</t>
  </si>
  <si>
    <t>Central (TWh)</t>
  </si>
  <si>
    <t>Fast change (TWh)</t>
  </si>
  <si>
    <t>CAGR</t>
  </si>
  <si>
    <t>2025 (anchor)</t>
  </si>
  <si>
    <t>—</t>
  </si>
  <si>
    <t>Year-1 anchored at 40 TWh = Ethiopia post-electrification target (2024 actual gen ~17.75 TWh; rapid 17%/yr near-term electrification 2024-2030 reaches ~40 TWh).</t>
  </si>
  <si>
    <t>Africa Energy Portal: Ethiopia targets 62,000 GWh in 2030 from 13,800 GWh in 2021 (13.7% p.a.); UN ESMAP National Electrification Program 2017 (universal access 2025).</t>
  </si>
  <si>
    <t>Central — 3.5%/yr CAGR</t>
  </si>
  <si>
    <t>see file</t>
  </si>
  <si>
    <t>3.5%</t>
  </si>
  <si>
    <t>Long-term post-electrification growth rate. Reaches 94.5 TWh by 2050. Aligned with World Bank/IRENA reference scenario for Ethiopia 2030-2050.</t>
  </si>
  <si>
    <t>World Bank Ethiopia Energy Outlook 2025; IRENA Ethiopia Statistical Profile 2024; Springer "Projecting Ethiopia's energy future to 2060" (HEG scenario CAGR ~3.46%).</t>
  </si>
  <si>
    <t>Fast change — 4.5%/yr CAGR</t>
  </si>
  <si>
    <t>4.5%</t>
  </si>
  <si>
    <t>High-growth alternative path. Reaches 120 TWh by 2050. Reflects faster industrialization scenario (mining + manufacturing + EV adoption).</t>
  </si>
  <si>
    <t>Springer 2025 (HEG scenario, energy intensity decline + industrialization); CRGE Strategy Phase 2.</t>
  </si>
  <si>
    <t>high_demand sensitivity</t>
  </si>
  <si>
    <t>6.0%</t>
  </si>
  <si>
    <t>In code (apply_scenario), demand_trend_slope_frac &gt;= 0.0075 triggers a CAGR-override path: central[0] × 1.06^t (year-1 anchored at 40 TWh, growing 6%/yr). Reaches 171.7 TWh by 2050. Ethiopia NDC industrialisation upper bound.</t>
  </si>
  <si>
    <t>Ethiopia NDC 3.0 (2025); Africa Energy Portal (13.7%/yr near-term implies long-term 5-7% sustained).</t>
  </si>
  <si>
    <t>SECTION 7: Code reading map — which sheets and columns the SDDP model reads</t>
  </si>
  <si>
    <t>Sheet</t>
  </si>
  <si>
    <t>Column read</t>
  </si>
  <si>
    <t>Used as</t>
  </si>
  <si>
    <t>How</t>
  </si>
  <si>
    <t>InvCost($kW)</t>
  </si>
  <si>
    <t>Hydro / Wind / Solar / Geothermal / Bioenergy</t>
  </si>
  <si>
    <t>a2 — investment cost ($/MW)</t>
  </si>
  <si>
    <t>inv[TECH].iloc[:nT].to_numpy() * 1000 → $/MW per year</t>
  </si>
  <si>
    <t>Cost1</t>
  </si>
  <si>
    <t>a1 — variable cost ($/MWh)</t>
  </si>
  <si>
    <t>cost["GenCost ($/MWh)"].iloc[:nE].to_numpy()</t>
  </si>
  <si>
    <t>b1 — fixed O&amp;M ($/MW/yr)</t>
  </si>
  <si>
    <t>cost["Opex"].iloc[:nE].to_numpy() * 1000 (column name kept for compat; numeric value is $/kW/yr)</t>
  </si>
  <si>
    <t>xinit — initial capacity</t>
  </si>
  <si>
    <t>cost["Init (MW)"].iloc[:nE].to_numpy()</t>
  </si>
  <si>
    <t>EM — emission factor (Zimbabwe model only; ETH does not use)</t>
  </si>
  <si>
    <t>cost[EM_col].iloc[:nE].to_numpy() — only read in Zimbabwe notebook</t>
  </si>
  <si>
    <t>Conversion</t>
  </si>
  <si>
    <t>alpha_vec — annual capacity factor × 8760</t>
  </si>
  <si>
    <t>conv["a=cf(1-d)h"].iloc[:nE].to_numpy()</t>
  </si>
  <si>
    <t>xinit_ub — capacity expansion ceiling</t>
  </si>
  <si>
    <t>conv["xinit_ub"].iloc[:nE].to_numpy()</t>
  </si>
  <si>
    <t>retirement</t>
  </si>
  <si>
    <t>columns 1:6 (positional)</t>
  </si>
  <si>
    <t>accum — cumulative scheduled retirements</t>
  </si>
  <si>
    <t>ret.iloc[:nT, 1:1+nE].to_numpy() then cumsum, capped at xinit</t>
  </si>
  <si>
    <t>demand</t>
  </si>
  <si>
    <t>central_demand — deterministic baseline demand path</t>
  </si>
  <si>
    <t>dem["Central"].iloc[:nT].to_numpy()</t>
  </si>
  <si>
    <t>— Note on SRMC convention —</t>
  </si>
  <si>
    <t>Note on SRMC and variable OPEX columns (Cost1 sheet): Following Sun et al. (2025) NSW convention, the SRMC and "variable OPEX" columns are left blank for fuel-free renewable technologies (Hydro, Wind, Solar, Geothermal) because their short-run marginal cost is effectively zero — the GenCost ($/MWh) column captures the small variable O&amp;M component. For Bioenergy, both columns are populated because biomass combustion has a real fuel cost. These columns are not read by the SDDP model code (which uses GenCost ($/MWh) directly); they are kept for documentation and consistency with the NSW reference file structure.</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</si>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</sst>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name val="Calibri"/>
    </font>
    <font>
      <i/>
      <sz val="10"/>
      <color rgb="FF595959"/>
      <name val="Calibri"/>
    </font>
    <font>
      <b/>
      <sz val="12"/>
      <color rgb="FFFFFFFF"/>
      <name val="Calibri"/>
    </font>
    <font>
      <b/>
      <sz val="11"/>
      <color rgb="FFFFFFFF"/>
      <name val="Calibri"/>
    </font>
    <font>
      <sz val="11"/>
      <name val="Calibri"/>
    </font>
    <font>
      <i/>
      <sz val="10"/>
      <color rgb="FF808080"/>
      <name val="Calibri"/>
    </font>
    <font>
      <b/>
      <sz val="11"/>
      <name val="Calibri"/>
    </font>
    <font>
      <sz val="11"/>
      <color theme="1"/>
      <name val="Calibri"/>
      <family val="2"/>
      <charset val="1"/>
    </font>
  </fonts>
  <fills count="4">
    <fill>
      <patternFill patternType="none"/>
    </fill>
    <fill>
      <patternFill patternType="gray125"/>
    </fill>
    <fill>
      <patternFill patternType="solid">
        <fgColor rgb="FF4472C4"/>
      </patternFill>
    </fill>
    <fill>
      <patternFill patternType="solid">
        <fgColor rgb="FF30549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0" fontId="8" fillId="0" borderId="0"/>
  </cellStyleXfs>
  <cellXfs count="10">
    <xf numFmtId="0" fontId="0" fillId="0" borderId="0" xfId="0"/>
    <xf numFmtId="0" fontId="4" fillId="3" borderId="1" xfId="0" applyFont="1" applyFill="1" applyBorder="1" applyAlignment="1">
      <alignment horizontal="center" vertical="center" wrapText="1"/>
    </xf>
    <xf numFmtId="0" fontId="5" fillId="0" borderId="1" xfId="0" applyFont="1" applyBorder="1" applyAlignment="1">
      <alignment vertical="top" wrapText="1"/>
    </xf>
    <xf numFmtId="0" fontId="6" fillId="0" borderId="1" xfId="0" applyFont="1" applyBorder="1" applyAlignment="1">
      <alignment vertical="top" wrapText="1"/>
    </xf>
    <xf numFmtId="1" fontId="8" fillId="0" borderId="2" xfId="1" applyNumberFormat="1" applyBorder="1"/>
    <xf numFmtId="0" fontId="1" fillId="0" borderId="0" xfId="0" applyFont="1"/>
    <xf numFmtId="0" fontId="0" fillId="0" borderId="0" xfId="0"/>
    <xf numFmtId="0" fontId="3" fillId="2" borderId="0" xfId="0" applyFont="1" applyFill="1" applyAlignment="1">
      <alignment horizontal="left" vertical="center"/>
    </xf>
    <xf numFmtId="0" fontId="2" fillId="0" borderId="0" xfId="0" applyFont="1" applyAlignment="1">
      <alignment vertical="top" wrapText="1"/>
    </xf>
    <xf numFmtId="0" fontId="7" fillId="0" borderId="0" xfId="0" applyFont="1"/>
  </cellXfs>
  <cellStyles count="2">
    <cellStyle name="Normal" xfId="0" builtinId="0"/>
    <cellStyle name="Normal 2" xfId="1" xr:uid="{80213434-DBD5-4356-A4F0-5ECEC8461B2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68"/>
  <sheetViews>
    <sheetView workbookViewId="0"/>
  </sheetViews>
  <sheetFormatPr defaultRowHeight="14.5" x14ac:dyDescent="0.35"/>
  <sheetData>
    <row r="2" spans="1:3" x14ac:dyDescent="0.35">
      <c r="A2" t="s">
        <v>0</v>
      </c>
      <c r="B2" t="s">
        <v>1</v>
      </c>
    </row>
    <row r="3" spans="1:3" x14ac:dyDescent="0.35">
      <c r="A3" t="s">
        <v>2</v>
      </c>
      <c r="B3" t="s">
        <v>3</v>
      </c>
    </row>
    <row r="4" spans="1:3" x14ac:dyDescent="0.35">
      <c r="A4" t="s">
        <v>4</v>
      </c>
      <c r="B4" t="s">
        <v>5</v>
      </c>
    </row>
    <row r="5" spans="1:3" x14ac:dyDescent="0.35">
      <c r="A5" t="s">
        <v>6</v>
      </c>
      <c r="B5" t="s">
        <v>7</v>
      </c>
    </row>
    <row r="6" spans="1:3" x14ac:dyDescent="0.35">
      <c r="A6" t="s">
        <v>8</v>
      </c>
      <c r="B6" t="s">
        <v>9</v>
      </c>
    </row>
    <row r="7" spans="1:3" x14ac:dyDescent="0.35">
      <c r="A7" t="s">
        <v>10</v>
      </c>
      <c r="B7" t="s">
        <v>11</v>
      </c>
      <c r="C7" t="s">
        <v>12</v>
      </c>
    </row>
    <row r="8" spans="1:3" x14ac:dyDescent="0.35">
      <c r="A8" t="s">
        <v>13</v>
      </c>
      <c r="B8" t="s">
        <v>14</v>
      </c>
    </row>
    <row r="9" spans="1:3" x14ac:dyDescent="0.35">
      <c r="A9" t="s">
        <v>15</v>
      </c>
      <c r="B9" t="s">
        <v>16</v>
      </c>
      <c r="C9" t="s">
        <v>17</v>
      </c>
    </row>
    <row r="10" spans="1:3" x14ac:dyDescent="0.35">
      <c r="A10" t="s">
        <v>18</v>
      </c>
      <c r="B10" t="s">
        <v>19</v>
      </c>
    </row>
    <row r="11" spans="1:3" x14ac:dyDescent="0.35">
      <c r="A11" t="s">
        <v>20</v>
      </c>
      <c r="B11" t="s">
        <v>21</v>
      </c>
      <c r="C11" t="s">
        <v>22</v>
      </c>
    </row>
    <row r="12" spans="1:3" x14ac:dyDescent="0.35">
      <c r="A12" t="s">
        <v>23</v>
      </c>
      <c r="B12" t="s">
        <v>24</v>
      </c>
    </row>
    <row r="13" spans="1:3" x14ac:dyDescent="0.35">
      <c r="A13" t="s">
        <v>25</v>
      </c>
      <c r="B13" t="s">
        <v>26</v>
      </c>
    </row>
    <row r="14" spans="1:3" x14ac:dyDescent="0.35">
      <c r="A14" t="s">
        <v>27</v>
      </c>
      <c r="B14" t="s">
        <v>28</v>
      </c>
    </row>
    <row r="15" spans="1:3" x14ac:dyDescent="0.35">
      <c r="A15" t="s">
        <v>29</v>
      </c>
      <c r="B15" t="s">
        <v>30</v>
      </c>
    </row>
    <row r="16" spans="1:3" x14ac:dyDescent="0.35">
      <c r="A16" t="s">
        <v>31</v>
      </c>
      <c r="B16" t="s">
        <v>32</v>
      </c>
    </row>
    <row r="17" spans="1:2" x14ac:dyDescent="0.35">
      <c r="A17" t="s">
        <v>33</v>
      </c>
      <c r="B17" t="s">
        <v>34</v>
      </c>
    </row>
    <row r="18" spans="1:2" x14ac:dyDescent="0.35">
      <c r="A18" t="s">
        <v>35</v>
      </c>
      <c r="B18" t="s">
        <v>36</v>
      </c>
    </row>
    <row r="19" spans="1:2" x14ac:dyDescent="0.35">
      <c r="A19" t="s">
        <v>37</v>
      </c>
      <c r="B19" t="s">
        <v>38</v>
      </c>
    </row>
    <row r="20" spans="1:2" x14ac:dyDescent="0.35">
      <c r="A20" t="s">
        <v>39</v>
      </c>
      <c r="B20" t="s">
        <v>40</v>
      </c>
    </row>
    <row r="21" spans="1:2" x14ac:dyDescent="0.35">
      <c r="A21" t="s">
        <v>41</v>
      </c>
      <c r="B21" t="s">
        <v>42</v>
      </c>
    </row>
    <row r="22" spans="1:2" x14ac:dyDescent="0.35">
      <c r="A22" t="s">
        <v>43</v>
      </c>
      <c r="B22" t="s">
        <v>44</v>
      </c>
    </row>
    <row r="24" spans="1:2" x14ac:dyDescent="0.35">
      <c r="A24" t="s">
        <v>45</v>
      </c>
    </row>
    <row r="25" spans="1:2" x14ac:dyDescent="0.35">
      <c r="A25" t="s">
        <v>46</v>
      </c>
      <c r="B25" t="s">
        <v>47</v>
      </c>
    </row>
    <row r="26" spans="1:2" x14ac:dyDescent="0.35">
      <c r="A26" t="s">
        <v>48</v>
      </c>
      <c r="B26" t="s">
        <v>49</v>
      </c>
    </row>
    <row r="27" spans="1:2" x14ac:dyDescent="0.35">
      <c r="A27" t="s">
        <v>50</v>
      </c>
      <c r="B27" t="s">
        <v>51</v>
      </c>
    </row>
    <row r="28" spans="1:2" x14ac:dyDescent="0.35">
      <c r="A28" t="s">
        <v>52</v>
      </c>
      <c r="B28" t="s">
        <v>53</v>
      </c>
    </row>
    <row r="29" spans="1:2" x14ac:dyDescent="0.35">
      <c r="A29" t="s">
        <v>54</v>
      </c>
      <c r="B29" t="s">
        <v>55</v>
      </c>
    </row>
    <row r="30" spans="1:2" x14ac:dyDescent="0.35">
      <c r="A30" t="s">
        <v>56</v>
      </c>
      <c r="B30" t="s">
        <v>57</v>
      </c>
    </row>
    <row r="31" spans="1:2" x14ac:dyDescent="0.35">
      <c r="A31" t="s">
        <v>58</v>
      </c>
      <c r="B31" t="s">
        <v>59</v>
      </c>
    </row>
    <row r="32" spans="1:2" x14ac:dyDescent="0.35">
      <c r="A32" t="s">
        <v>60</v>
      </c>
      <c r="B32" t="s">
        <v>61</v>
      </c>
    </row>
    <row r="33" spans="1:2" x14ac:dyDescent="0.35">
      <c r="A33" t="s">
        <v>62</v>
      </c>
      <c r="B33" t="s">
        <v>63</v>
      </c>
    </row>
    <row r="34" spans="1:2" x14ac:dyDescent="0.35">
      <c r="A34" t="s">
        <v>64</v>
      </c>
      <c r="B34" t="s">
        <v>65</v>
      </c>
    </row>
    <row r="35" spans="1:2" x14ac:dyDescent="0.35">
      <c r="A35" t="s">
        <v>66</v>
      </c>
      <c r="B35" t="s">
        <v>67</v>
      </c>
    </row>
    <row r="36" spans="1:2" x14ac:dyDescent="0.35">
      <c r="A36" t="s">
        <v>68</v>
      </c>
      <c r="B36" t="s">
        <v>69</v>
      </c>
    </row>
    <row r="37" spans="1:2" x14ac:dyDescent="0.35">
      <c r="A37" t="s">
        <v>70</v>
      </c>
      <c r="B37" t="s">
        <v>71</v>
      </c>
    </row>
    <row r="38" spans="1:2" x14ac:dyDescent="0.35">
      <c r="A38" t="s">
        <v>72</v>
      </c>
      <c r="B38" t="s">
        <v>73</v>
      </c>
    </row>
    <row r="39" spans="1:2" x14ac:dyDescent="0.35">
      <c r="A39" t="s">
        <v>74</v>
      </c>
      <c r="B39" t="s">
        <v>75</v>
      </c>
    </row>
    <row r="40" spans="1:2" x14ac:dyDescent="0.35">
      <c r="A40" t="s">
        <v>76</v>
      </c>
      <c r="B40" t="s">
        <v>77</v>
      </c>
    </row>
    <row r="41" spans="1:2" x14ac:dyDescent="0.35">
      <c r="A41" t="s">
        <v>78</v>
      </c>
      <c r="B41" t="s">
        <v>79</v>
      </c>
    </row>
    <row r="42" spans="1:2" x14ac:dyDescent="0.35">
      <c r="A42" t="s">
        <v>80</v>
      </c>
      <c r="B42" t="s">
        <v>81</v>
      </c>
    </row>
    <row r="43" spans="1:2" x14ac:dyDescent="0.35">
      <c r="A43" t="s">
        <v>82</v>
      </c>
      <c r="B43" t="s">
        <v>83</v>
      </c>
    </row>
    <row r="44" spans="1:2" x14ac:dyDescent="0.35">
      <c r="A44" t="s">
        <v>84</v>
      </c>
      <c r="B44" t="s">
        <v>85</v>
      </c>
    </row>
    <row r="45" spans="1:2" x14ac:dyDescent="0.35">
      <c r="A45" t="s">
        <v>86</v>
      </c>
      <c r="B45" t="s">
        <v>87</v>
      </c>
    </row>
    <row r="46" spans="1:2" x14ac:dyDescent="0.35">
      <c r="A46" t="s">
        <v>88</v>
      </c>
      <c r="B46" t="s">
        <v>89</v>
      </c>
    </row>
    <row r="47" spans="1:2" x14ac:dyDescent="0.35">
      <c r="A47" t="s">
        <v>90</v>
      </c>
      <c r="B47" t="s">
        <v>91</v>
      </c>
    </row>
    <row r="48" spans="1:2" x14ac:dyDescent="0.35">
      <c r="A48" t="s">
        <v>92</v>
      </c>
      <c r="B48" t="s">
        <v>93</v>
      </c>
    </row>
    <row r="49" spans="1:2" x14ac:dyDescent="0.35">
      <c r="A49" t="s">
        <v>94</v>
      </c>
      <c r="B49" t="s">
        <v>95</v>
      </c>
    </row>
    <row r="50" spans="1:2" x14ac:dyDescent="0.35">
      <c r="A50" t="s">
        <v>96</v>
      </c>
      <c r="B50" t="s">
        <v>97</v>
      </c>
    </row>
    <row r="51" spans="1:2" x14ac:dyDescent="0.35">
      <c r="A51" t="s">
        <v>98</v>
      </c>
      <c r="B51" t="s">
        <v>99</v>
      </c>
    </row>
    <row r="52" spans="1:2" x14ac:dyDescent="0.35">
      <c r="A52" t="s">
        <v>100</v>
      </c>
      <c r="B52" t="s">
        <v>101</v>
      </c>
    </row>
    <row r="53" spans="1:2" x14ac:dyDescent="0.35">
      <c r="A53" t="s">
        <v>102</v>
      </c>
      <c r="B53" t="s">
        <v>103</v>
      </c>
    </row>
    <row r="54" spans="1:2" x14ac:dyDescent="0.35">
      <c r="A54" t="s">
        <v>104</v>
      </c>
      <c r="B54" t="s">
        <v>105</v>
      </c>
    </row>
    <row r="55" spans="1:2" x14ac:dyDescent="0.35">
      <c r="A55" t="s">
        <v>106</v>
      </c>
      <c r="B55" t="s">
        <v>107</v>
      </c>
    </row>
    <row r="56" spans="1:2" x14ac:dyDescent="0.35">
      <c r="A56" t="s">
        <v>108</v>
      </c>
      <c r="B56" t="s">
        <v>109</v>
      </c>
    </row>
    <row r="57" spans="1:2" x14ac:dyDescent="0.35">
      <c r="A57" t="s">
        <v>110</v>
      </c>
      <c r="B57" t="s">
        <v>111</v>
      </c>
    </row>
    <row r="58" spans="1:2" x14ac:dyDescent="0.35">
      <c r="A58" t="s">
        <v>112</v>
      </c>
      <c r="B58" t="s">
        <v>113</v>
      </c>
    </row>
    <row r="59" spans="1:2" x14ac:dyDescent="0.35">
      <c r="A59" t="s">
        <v>114</v>
      </c>
      <c r="B59" t="s">
        <v>115</v>
      </c>
    </row>
    <row r="60" spans="1:2" x14ac:dyDescent="0.35">
      <c r="A60" t="s">
        <v>116</v>
      </c>
      <c r="B60" t="s">
        <v>117</v>
      </c>
    </row>
    <row r="61" spans="1:2" x14ac:dyDescent="0.35">
      <c r="A61" t="s">
        <v>118</v>
      </c>
      <c r="B61" t="s">
        <v>119</v>
      </c>
    </row>
    <row r="62" spans="1:2" x14ac:dyDescent="0.35">
      <c r="A62" t="s">
        <v>120</v>
      </c>
      <c r="B62" t="s">
        <v>121</v>
      </c>
    </row>
    <row r="63" spans="1:2" x14ac:dyDescent="0.35">
      <c r="A63" t="s">
        <v>122</v>
      </c>
      <c r="B63" t="s">
        <v>123</v>
      </c>
    </row>
    <row r="64" spans="1:2" x14ac:dyDescent="0.35">
      <c r="A64" t="s">
        <v>124</v>
      </c>
      <c r="B64" t="s">
        <v>125</v>
      </c>
    </row>
    <row r="65" spans="1:2" x14ac:dyDescent="0.35">
      <c r="A65" t="s">
        <v>126</v>
      </c>
      <c r="B65" t="s">
        <v>127</v>
      </c>
    </row>
    <row r="66" spans="1:2" x14ac:dyDescent="0.35">
      <c r="A66" t="s">
        <v>128</v>
      </c>
      <c r="B66" t="s">
        <v>129</v>
      </c>
    </row>
    <row r="67" spans="1:2" x14ac:dyDescent="0.35">
      <c r="A67" t="s">
        <v>130</v>
      </c>
      <c r="B67" t="s">
        <v>131</v>
      </c>
    </row>
    <row r="68" spans="1:2" x14ac:dyDescent="0.35">
      <c r="A68" t="s">
        <v>132</v>
      </c>
      <c r="B68" t="s">
        <v>133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
  <sheetViews>
    <sheetView workbookViewId="0"/>
  </sheetViews>
  <sheetFormatPr defaultRowHeight="14.5" x14ac:dyDescent="0.35"/>
  <sheetData>
    <row r="1" spans="1:2" x14ac:dyDescent="0.35">
      <c r="A1" t="s">
        <v>134</v>
      </c>
    </row>
    <row r="2" spans="1:2" x14ac:dyDescent="0.35">
      <c r="A2" t="s">
        <v>135</v>
      </c>
      <c r="B2" t="s">
        <v>136</v>
      </c>
    </row>
    <row r="3" spans="1:2" x14ac:dyDescent="0.35">
      <c r="A3" t="s">
        <v>137</v>
      </c>
      <c r="B3" t="s">
        <v>138</v>
      </c>
    </row>
    <row r="4" spans="1:2" x14ac:dyDescent="0.35">
      <c r="A4" t="s">
        <v>139</v>
      </c>
      <c r="B4" t="s">
        <v>140</v>
      </c>
    </row>
    <row r="5" spans="1:2" x14ac:dyDescent="0.35">
      <c r="A5" t="s">
        <v>141</v>
      </c>
      <c r="B5" t="s">
        <v>142</v>
      </c>
    </row>
    <row r="6" spans="1:2" x14ac:dyDescent="0.35">
      <c r="A6" t="s">
        <v>143</v>
      </c>
      <c r="B6" t="s">
        <v>144</v>
      </c>
    </row>
    <row r="7" spans="1:2" x14ac:dyDescent="0.35">
      <c r="A7" t="s">
        <v>145</v>
      </c>
      <c r="B7" t="s">
        <v>146</v>
      </c>
    </row>
    <row r="8" spans="1:2" x14ac:dyDescent="0.35">
      <c r="A8" t="s">
        <v>147</v>
      </c>
    </row>
    <row r="9" spans="1:2" x14ac:dyDescent="0.35">
      <c r="A9" t="s">
        <v>148</v>
      </c>
      <c r="B9" t="s">
        <v>149</v>
      </c>
    </row>
    <row r="10" spans="1:2" x14ac:dyDescent="0.35">
      <c r="A10" t="s">
        <v>150</v>
      </c>
      <c r="B10" t="s">
        <v>151</v>
      </c>
    </row>
    <row r="11" spans="1:2" x14ac:dyDescent="0.35">
      <c r="A11" t="s">
        <v>152</v>
      </c>
      <c r="B11" t="s">
        <v>153</v>
      </c>
    </row>
    <row r="12" spans="1:2" x14ac:dyDescent="0.35">
      <c r="A12" t="s">
        <v>154</v>
      </c>
    </row>
    <row r="13" spans="1:2" x14ac:dyDescent="0.35">
      <c r="A13" t="s">
        <v>155</v>
      </c>
      <c r="B13" t="s">
        <v>156</v>
      </c>
    </row>
    <row r="14" spans="1:2" x14ac:dyDescent="0.35">
      <c r="A14" t="s">
        <v>157</v>
      </c>
      <c r="B14" t="s">
        <v>158</v>
      </c>
    </row>
    <row r="15" spans="1:2" x14ac:dyDescent="0.35">
      <c r="A15" t="s">
        <v>159</v>
      </c>
      <c r="B15" t="s">
        <v>160</v>
      </c>
    </row>
    <row r="16" spans="1:2" x14ac:dyDescent="0.35">
      <c r="A16" t="s">
        <v>161</v>
      </c>
      <c r="B16" t="s">
        <v>162</v>
      </c>
    </row>
    <row r="17" spans="1:2" x14ac:dyDescent="0.35">
      <c r="A17" t="s">
        <v>163</v>
      </c>
      <c r="B17" t="s">
        <v>164</v>
      </c>
    </row>
    <row r="18" spans="1:2" x14ac:dyDescent="0.35">
      <c r="A18" t="s">
        <v>165</v>
      </c>
      <c r="B18" t="s">
        <v>166</v>
      </c>
    </row>
    <row r="19" spans="1:2" x14ac:dyDescent="0.35">
      <c r="A19" t="s">
        <v>167</v>
      </c>
      <c r="B19" t="s">
        <v>168</v>
      </c>
    </row>
    <row r="20" spans="1:2" x14ac:dyDescent="0.35">
      <c r="A20" t="s">
        <v>169</v>
      </c>
      <c r="B20" t="s">
        <v>170</v>
      </c>
    </row>
    <row r="21" spans="1:2" x14ac:dyDescent="0.35">
      <c r="A21" t="s">
        <v>171</v>
      </c>
      <c r="B21" t="s">
        <v>172</v>
      </c>
    </row>
    <row r="22" spans="1:2" x14ac:dyDescent="0.35">
      <c r="A22" t="s">
        <v>173</v>
      </c>
      <c r="B22" t="s">
        <v>174</v>
      </c>
    </row>
    <row r="23" spans="1:2" x14ac:dyDescent="0.35">
      <c r="A23" t="s">
        <v>175</v>
      </c>
      <c r="B23" t="s">
        <v>176</v>
      </c>
    </row>
    <row r="24" spans="1:2" x14ac:dyDescent="0.35">
      <c r="A24" t="s">
        <v>177</v>
      </c>
      <c r="B24" t="s">
        <v>178</v>
      </c>
    </row>
    <row r="25" spans="1:2" x14ac:dyDescent="0.35">
      <c r="A25" t="s">
        <v>179</v>
      </c>
      <c r="B25" t="s">
        <v>180</v>
      </c>
    </row>
    <row r="26" spans="1:2" x14ac:dyDescent="0.35">
      <c r="A26" t="s">
        <v>181</v>
      </c>
      <c r="B26" t="s">
        <v>182</v>
      </c>
    </row>
    <row r="27" spans="1:2" x14ac:dyDescent="0.35">
      <c r="A27" t="s">
        <v>183</v>
      </c>
      <c r="B27" t="s">
        <v>184</v>
      </c>
    </row>
    <row r="28" spans="1:2" x14ac:dyDescent="0.35">
      <c r="A28" t="s">
        <v>185</v>
      </c>
      <c r="B28" t="s">
        <v>186</v>
      </c>
    </row>
    <row r="29" spans="1:2" x14ac:dyDescent="0.35">
      <c r="A29" t="s">
        <v>187</v>
      </c>
      <c r="B29" t="s">
        <v>188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9"/>
  <sheetViews>
    <sheetView topLeftCell="A7" workbookViewId="0">
      <selection activeCell="L27" sqref="L27"/>
    </sheetView>
  </sheetViews>
  <sheetFormatPr defaultRowHeight="14.5" x14ac:dyDescent="0.35"/>
  <sheetData>
    <row r="1" spans="1:6" x14ac:dyDescent="0.35">
      <c r="A1" t="s">
        <v>189</v>
      </c>
      <c r="B1" t="s">
        <v>190</v>
      </c>
      <c r="C1" t="s">
        <v>191</v>
      </c>
      <c r="D1" t="s">
        <v>192</v>
      </c>
      <c r="E1" t="s">
        <v>193</v>
      </c>
      <c r="F1" t="s">
        <v>194</v>
      </c>
    </row>
    <row r="2" spans="1:6" x14ac:dyDescent="0.35">
      <c r="A2">
        <v>2025</v>
      </c>
      <c r="B2">
        <v>1200</v>
      </c>
      <c r="C2">
        <v>1300</v>
      </c>
      <c r="D2">
        <v>900</v>
      </c>
      <c r="E2" s="4">
        <v>3000</v>
      </c>
      <c r="F2" s="4">
        <v>2000</v>
      </c>
    </row>
    <row r="3" spans="1:6" x14ac:dyDescent="0.35">
      <c r="A3">
        <v>2026</v>
      </c>
      <c r="B3">
        <v>1192</v>
      </c>
      <c r="C3">
        <v>1284</v>
      </c>
      <c r="D3">
        <v>880</v>
      </c>
      <c r="E3" s="4">
        <v>2980</v>
      </c>
      <c r="F3" s="4">
        <v>1984</v>
      </c>
    </row>
    <row r="4" spans="1:6" x14ac:dyDescent="0.35">
      <c r="A4">
        <v>2027</v>
      </c>
      <c r="B4">
        <v>1184</v>
      </c>
      <c r="C4">
        <v>1268</v>
      </c>
      <c r="D4">
        <v>860</v>
      </c>
      <c r="E4" s="4">
        <v>2960</v>
      </c>
      <c r="F4" s="4">
        <v>1975</v>
      </c>
    </row>
    <row r="5" spans="1:6" x14ac:dyDescent="0.35">
      <c r="A5">
        <v>2028</v>
      </c>
      <c r="B5">
        <v>1176</v>
      </c>
      <c r="C5">
        <v>1252</v>
      </c>
      <c r="D5">
        <v>840</v>
      </c>
      <c r="E5" s="4">
        <v>2940</v>
      </c>
      <c r="F5" s="4">
        <v>1850</v>
      </c>
    </row>
    <row r="6" spans="1:6" x14ac:dyDescent="0.35">
      <c r="A6">
        <v>2029</v>
      </c>
      <c r="B6">
        <v>1168</v>
      </c>
      <c r="C6">
        <v>1236</v>
      </c>
      <c r="D6">
        <v>820</v>
      </c>
      <c r="E6" s="4">
        <v>2920</v>
      </c>
      <c r="F6" s="4">
        <v>1850</v>
      </c>
    </row>
    <row r="7" spans="1:6" x14ac:dyDescent="0.35">
      <c r="A7">
        <v>2030</v>
      </c>
      <c r="B7">
        <v>1160</v>
      </c>
      <c r="C7">
        <v>1220</v>
      </c>
      <c r="D7">
        <v>800</v>
      </c>
      <c r="E7" s="4">
        <v>2900</v>
      </c>
      <c r="F7" s="4">
        <v>1800</v>
      </c>
    </row>
    <row r="8" spans="1:6" x14ac:dyDescent="0.35">
      <c r="A8">
        <v>2031</v>
      </c>
      <c r="B8">
        <v>1152</v>
      </c>
      <c r="C8">
        <v>1204</v>
      </c>
      <c r="D8">
        <v>780</v>
      </c>
      <c r="E8" s="4">
        <v>2880</v>
      </c>
      <c r="F8" s="4">
        <v>1750</v>
      </c>
    </row>
    <row r="9" spans="1:6" x14ac:dyDescent="0.35">
      <c r="A9">
        <v>2032</v>
      </c>
      <c r="B9">
        <v>1144</v>
      </c>
      <c r="C9">
        <v>1188</v>
      </c>
      <c r="D9">
        <v>760</v>
      </c>
      <c r="E9" s="4">
        <v>2860</v>
      </c>
      <c r="F9" s="4">
        <v>1725</v>
      </c>
    </row>
    <row r="10" spans="1:6" x14ac:dyDescent="0.35">
      <c r="A10">
        <v>2033</v>
      </c>
      <c r="B10">
        <v>1136</v>
      </c>
      <c r="C10">
        <v>1172</v>
      </c>
      <c r="D10">
        <v>740</v>
      </c>
      <c r="E10" s="4">
        <v>2840</v>
      </c>
      <c r="F10" s="4">
        <v>1700</v>
      </c>
    </row>
    <row r="11" spans="1:6" x14ac:dyDescent="0.35">
      <c r="A11">
        <v>2034</v>
      </c>
      <c r="B11">
        <v>1128</v>
      </c>
      <c r="C11">
        <v>1156</v>
      </c>
      <c r="D11">
        <v>720</v>
      </c>
      <c r="E11" s="4">
        <v>2820</v>
      </c>
      <c r="F11" s="4">
        <v>1700</v>
      </c>
    </row>
    <row r="12" spans="1:6" x14ac:dyDescent="0.35">
      <c r="A12">
        <v>2035</v>
      </c>
      <c r="B12">
        <v>1120</v>
      </c>
      <c r="C12">
        <v>1140</v>
      </c>
      <c r="D12">
        <v>700</v>
      </c>
      <c r="E12" s="4">
        <v>2800</v>
      </c>
      <c r="F12" s="4">
        <v>1650</v>
      </c>
    </row>
    <row r="13" spans="1:6" x14ac:dyDescent="0.35">
      <c r="A13">
        <v>2036</v>
      </c>
      <c r="B13">
        <v>1112</v>
      </c>
      <c r="C13">
        <v>1124</v>
      </c>
      <c r="D13">
        <v>680</v>
      </c>
      <c r="E13" s="4">
        <v>2780</v>
      </c>
      <c r="F13" s="4">
        <v>1625</v>
      </c>
    </row>
    <row r="14" spans="1:6" x14ac:dyDescent="0.35">
      <c r="A14">
        <v>2037</v>
      </c>
      <c r="B14">
        <v>1104</v>
      </c>
      <c r="C14">
        <v>1108</v>
      </c>
      <c r="D14">
        <v>660</v>
      </c>
      <c r="E14" s="4">
        <v>2760</v>
      </c>
      <c r="F14" s="4">
        <v>1615</v>
      </c>
    </row>
    <row r="15" spans="1:6" x14ac:dyDescent="0.35">
      <c r="A15">
        <v>2038</v>
      </c>
      <c r="B15">
        <v>1096</v>
      </c>
      <c r="C15">
        <v>1092</v>
      </c>
      <c r="D15">
        <v>640</v>
      </c>
      <c r="E15" s="4">
        <v>2740</v>
      </c>
      <c r="F15" s="4">
        <v>1600</v>
      </c>
    </row>
    <row r="16" spans="1:6" x14ac:dyDescent="0.35">
      <c r="A16">
        <v>2039</v>
      </c>
      <c r="B16">
        <v>1088</v>
      </c>
      <c r="C16">
        <v>1076</v>
      </c>
      <c r="D16">
        <v>620</v>
      </c>
      <c r="E16" s="4">
        <v>2720</v>
      </c>
      <c r="F16" s="4">
        <v>1589</v>
      </c>
    </row>
    <row r="17" spans="1:6" x14ac:dyDescent="0.35">
      <c r="A17">
        <v>2040</v>
      </c>
      <c r="B17">
        <v>1080</v>
      </c>
      <c r="C17">
        <v>1060</v>
      </c>
      <c r="D17">
        <v>600</v>
      </c>
      <c r="E17" s="4">
        <v>2700</v>
      </c>
      <c r="F17" s="4">
        <v>1584</v>
      </c>
    </row>
    <row r="18" spans="1:6" x14ac:dyDescent="0.35">
      <c r="A18">
        <v>2041</v>
      </c>
      <c r="B18">
        <v>1072</v>
      </c>
      <c r="C18">
        <v>1044</v>
      </c>
      <c r="D18">
        <v>580</v>
      </c>
      <c r="E18" s="4">
        <v>2680</v>
      </c>
      <c r="F18" s="4">
        <v>1567</v>
      </c>
    </row>
    <row r="19" spans="1:6" x14ac:dyDescent="0.35">
      <c r="A19">
        <v>2042</v>
      </c>
      <c r="B19">
        <v>1064</v>
      </c>
      <c r="C19">
        <v>1028</v>
      </c>
      <c r="D19">
        <v>560</v>
      </c>
      <c r="E19" s="4">
        <v>2660</v>
      </c>
      <c r="F19" s="4">
        <v>1550</v>
      </c>
    </row>
    <row r="20" spans="1:6" x14ac:dyDescent="0.35">
      <c r="A20">
        <v>2043</v>
      </c>
      <c r="B20">
        <v>1056</v>
      </c>
      <c r="C20">
        <v>1012</v>
      </c>
      <c r="D20">
        <v>540</v>
      </c>
      <c r="E20" s="4">
        <v>2640</v>
      </c>
      <c r="F20" s="4">
        <v>1543</v>
      </c>
    </row>
    <row r="21" spans="1:6" x14ac:dyDescent="0.35">
      <c r="A21">
        <v>2044</v>
      </c>
      <c r="B21">
        <v>1048</v>
      </c>
      <c r="C21">
        <v>996</v>
      </c>
      <c r="D21">
        <v>520</v>
      </c>
      <c r="E21" s="4">
        <v>2620</v>
      </c>
      <c r="F21" s="4">
        <v>1530</v>
      </c>
    </row>
    <row r="22" spans="1:6" x14ac:dyDescent="0.35">
      <c r="A22">
        <v>2045</v>
      </c>
      <c r="B22">
        <v>1040</v>
      </c>
      <c r="C22">
        <v>980</v>
      </c>
      <c r="D22">
        <v>500</v>
      </c>
      <c r="E22" s="4">
        <v>2600</v>
      </c>
      <c r="F22" s="4">
        <v>1500</v>
      </c>
    </row>
    <row r="23" spans="1:6" x14ac:dyDescent="0.35">
      <c r="A23">
        <v>2046</v>
      </c>
      <c r="B23">
        <v>1032</v>
      </c>
      <c r="C23">
        <v>964</v>
      </c>
      <c r="D23">
        <v>480</v>
      </c>
      <c r="E23" s="4">
        <v>2580</v>
      </c>
      <c r="F23" s="4">
        <v>1490</v>
      </c>
    </row>
    <row r="24" spans="1:6" x14ac:dyDescent="0.35">
      <c r="A24">
        <v>2047</v>
      </c>
      <c r="B24">
        <v>1024</v>
      </c>
      <c r="C24">
        <v>948</v>
      </c>
      <c r="D24">
        <v>460</v>
      </c>
      <c r="E24" s="4">
        <v>2560</v>
      </c>
      <c r="F24" s="4">
        <v>1450</v>
      </c>
    </row>
    <row r="25" spans="1:6" x14ac:dyDescent="0.35">
      <c r="A25">
        <v>2048</v>
      </c>
      <c r="B25">
        <v>1016</v>
      </c>
      <c r="C25">
        <v>932</v>
      </c>
      <c r="D25">
        <v>440</v>
      </c>
      <c r="E25" s="4">
        <v>2540</v>
      </c>
      <c r="F25" s="4">
        <v>1400</v>
      </c>
    </row>
    <row r="26" spans="1:6" x14ac:dyDescent="0.35">
      <c r="A26">
        <v>2049</v>
      </c>
      <c r="B26">
        <v>1008</v>
      </c>
      <c r="C26">
        <v>916</v>
      </c>
      <c r="D26">
        <v>420</v>
      </c>
      <c r="E26" s="4">
        <v>2520</v>
      </c>
      <c r="F26" s="4">
        <v>1350</v>
      </c>
    </row>
    <row r="27" spans="1:6" x14ac:dyDescent="0.35">
      <c r="A27">
        <v>2050</v>
      </c>
      <c r="B27">
        <v>1000</v>
      </c>
      <c r="C27">
        <v>900</v>
      </c>
      <c r="D27">
        <v>400</v>
      </c>
      <c r="E27" s="4">
        <v>2500</v>
      </c>
      <c r="F27" s="4">
        <v>1325</v>
      </c>
    </row>
    <row r="29" spans="1:6" ht="14.25" customHeight="1" x14ac:dyDescent="0.35">
      <c r="A29" t="s">
        <v>364</v>
      </c>
      <c r="B29">
        <f>(SUM(B2:B27)/26)*1000</f>
        <v>1100000</v>
      </c>
      <c r="C29">
        <f>(SUM(C2:C27)/26)*1000</f>
        <v>1100000</v>
      </c>
      <c r="D29">
        <f>(SUM(D2:D27)/26)*1000</f>
        <v>650000</v>
      </c>
      <c r="E29">
        <f>(SUM(E2:E27)/26)*1000</f>
        <v>2750000</v>
      </c>
      <c r="F29">
        <f>(SUM(F2:F27)/26)*1000</f>
        <v>1642384.6153846155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
  <sheetViews>
    <sheetView tabSelected="1" workbookViewId="0">
      <selection activeCell="G5" sqref="G5"/>
    </sheetView>
  </sheetViews>
  <sheetFormatPr defaultRowHeight="14.5" x14ac:dyDescent="0.35"/>
  <sheetData>
    <row r="1" spans="1:19" x14ac:dyDescent="0.35">
      <c r="A1" t="s">
        <v>195</v>
      </c>
      <c r="B1" t="s">
        <v>196</v>
      </c>
      <c r="C1" t="s">
        <v>197</v>
      </c>
      <c r="D1" t="s">
        <v>198</v>
      </c>
      <c r="E1" t="s">
        <v>199</v>
      </c>
      <c r="F1" t="s">
        <v>200</v>
      </c>
      <c r="G1" t="s">
        <v>201</v>
      </c>
      <c r="H1" t="s">
        <v>202</v>
      </c>
      <c r="I1" t="s">
        <v>203</v>
      </c>
      <c r="J1" t="s">
        <v>204</v>
      </c>
      <c r="K1" t="s">
        <v>205</v>
      </c>
      <c r="L1" t="s">
        <v>206</v>
      </c>
      <c r="M1" t="s">
        <v>207</v>
      </c>
      <c r="N1" t="s">
        <v>208</v>
      </c>
      <c r="O1" t="s">
        <v>209</v>
      </c>
      <c r="P1" t="s">
        <v>210</v>
      </c>
      <c r="Q1" t="s">
        <v>211</v>
      </c>
      <c r="R1" t="s">
        <v>212</v>
      </c>
      <c r="S1" t="s">
        <v>213</v>
      </c>
    </row>
    <row r="2" spans="1:19" x14ac:dyDescent="0.35">
      <c r="A2" t="s">
        <v>214</v>
      </c>
      <c r="B2" t="s">
        <v>190</v>
      </c>
      <c r="C2">
        <v>9213</v>
      </c>
      <c r="D2">
        <v>0</v>
      </c>
      <c r="E2">
        <v>1200000</v>
      </c>
      <c r="F2">
        <v>3.4</v>
      </c>
      <c r="G2">
        <v>30</v>
      </c>
      <c r="H2">
        <v>24</v>
      </c>
      <c r="I2">
        <v>5.93</v>
      </c>
      <c r="J2">
        <v>17750000</v>
      </c>
      <c r="K2">
        <v>0</v>
      </c>
      <c r="L2">
        <v>17126000</v>
      </c>
      <c r="M2">
        <v>0.94421612536254917</v>
      </c>
      <c r="N2">
        <v>0.94421612536254917</v>
      </c>
      <c r="P2">
        <v>0</v>
      </c>
      <c r="Q2">
        <v>0</v>
      </c>
      <c r="R2">
        <v>3.4</v>
      </c>
    </row>
    <row r="3" spans="1:19" x14ac:dyDescent="0.35">
      <c r="A3" t="s">
        <v>214</v>
      </c>
      <c r="B3" t="s">
        <v>191</v>
      </c>
      <c r="C3">
        <v>502</v>
      </c>
      <c r="D3">
        <v>0</v>
      </c>
      <c r="E3">
        <v>1300000</v>
      </c>
      <c r="F3">
        <v>2</v>
      </c>
      <c r="G3">
        <v>25</v>
      </c>
      <c r="H3">
        <v>20</v>
      </c>
      <c r="I3">
        <v>5.93</v>
      </c>
      <c r="K3">
        <v>0</v>
      </c>
      <c r="L3">
        <v>576000</v>
      </c>
      <c r="M3">
        <v>5.1448658952784082E-2</v>
      </c>
      <c r="N3">
        <v>5.1448658952784082E-2</v>
      </c>
      <c r="P3">
        <v>0</v>
      </c>
      <c r="Q3">
        <v>0</v>
      </c>
      <c r="R3">
        <v>3</v>
      </c>
    </row>
    <row r="4" spans="1:19" x14ac:dyDescent="0.35">
      <c r="A4" t="s">
        <v>214</v>
      </c>
      <c r="B4" t="s">
        <v>192</v>
      </c>
      <c r="C4">
        <v>10</v>
      </c>
      <c r="D4">
        <v>0</v>
      </c>
      <c r="E4">
        <v>900000</v>
      </c>
      <c r="F4">
        <v>0</v>
      </c>
      <c r="G4">
        <v>15</v>
      </c>
      <c r="H4">
        <v>12</v>
      </c>
      <c r="I4">
        <v>5.93</v>
      </c>
      <c r="K4">
        <v>0</v>
      </c>
      <c r="L4">
        <v>34000</v>
      </c>
      <c r="M4">
        <v>1.0248736843184081E-3</v>
      </c>
      <c r="N4">
        <v>1.0248736843184081E-3</v>
      </c>
      <c r="P4">
        <v>0</v>
      </c>
      <c r="Q4">
        <v>0</v>
      </c>
      <c r="R4">
        <v>1.5</v>
      </c>
    </row>
    <row r="5" spans="1:19" x14ac:dyDescent="0.35">
      <c r="A5" t="s">
        <v>214</v>
      </c>
      <c r="B5" t="s">
        <v>193</v>
      </c>
      <c r="C5">
        <v>7.3</v>
      </c>
      <c r="D5">
        <v>50</v>
      </c>
      <c r="E5">
        <v>2750000</v>
      </c>
      <c r="F5">
        <v>6</v>
      </c>
      <c r="G5">
        <v>40</v>
      </c>
      <c r="H5">
        <v>32</v>
      </c>
      <c r="I5">
        <v>5.93</v>
      </c>
      <c r="K5">
        <v>0</v>
      </c>
      <c r="L5">
        <v>0</v>
      </c>
      <c r="M5">
        <v>7.481577895524377E-4</v>
      </c>
      <c r="N5">
        <v>7.481577895524377E-4</v>
      </c>
      <c r="P5">
        <v>0</v>
      </c>
      <c r="Q5">
        <v>0</v>
      </c>
      <c r="R5">
        <v>6</v>
      </c>
    </row>
    <row r="6" spans="1:19" x14ac:dyDescent="0.35">
      <c r="A6" t="s">
        <v>214</v>
      </c>
      <c r="B6" t="s">
        <v>194</v>
      </c>
      <c r="C6">
        <v>25</v>
      </c>
      <c r="D6">
        <v>230</v>
      </c>
      <c r="E6">
        <v>1642384.6153846155</v>
      </c>
      <c r="F6">
        <v>10</v>
      </c>
      <c r="G6">
        <v>25</v>
      </c>
      <c r="H6">
        <v>22</v>
      </c>
      <c r="I6">
        <v>5.93</v>
      </c>
      <c r="K6">
        <v>0</v>
      </c>
      <c r="L6">
        <v>14000</v>
      </c>
      <c r="M6">
        <v>2.562184210796019E-3</v>
      </c>
      <c r="N6">
        <v>2.562184210796019E-3</v>
      </c>
      <c r="O6">
        <v>30</v>
      </c>
      <c r="P6">
        <v>1.5</v>
      </c>
      <c r="Q6">
        <v>18</v>
      </c>
      <c r="R6">
        <v>10</v>
      </c>
      <c r="S6">
        <v>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
  <sheetViews>
    <sheetView workbookViewId="0">
      <selection activeCell="E6" sqref="E6"/>
    </sheetView>
  </sheetViews>
  <sheetFormatPr defaultRowHeight="14.5" x14ac:dyDescent="0.35"/>
  <sheetData>
    <row r="1" spans="1:12" x14ac:dyDescent="0.35">
      <c r="A1" t="s">
        <v>195</v>
      </c>
      <c r="B1" t="s">
        <v>196</v>
      </c>
      <c r="C1" t="s">
        <v>215</v>
      </c>
      <c r="D1" t="s">
        <v>216</v>
      </c>
      <c r="E1" t="s">
        <v>217</v>
      </c>
      <c r="F1" t="s">
        <v>218</v>
      </c>
      <c r="G1" t="s">
        <v>219</v>
      </c>
      <c r="H1" t="s">
        <v>220</v>
      </c>
      <c r="I1" t="s">
        <v>221</v>
      </c>
      <c r="J1" t="s">
        <v>222</v>
      </c>
      <c r="K1" t="s">
        <v>223</v>
      </c>
      <c r="L1" t="s">
        <v>224</v>
      </c>
    </row>
    <row r="2" spans="1:12" x14ac:dyDescent="0.35">
      <c r="A2" t="s">
        <v>214</v>
      </c>
      <c r="B2" t="s">
        <v>190</v>
      </c>
      <c r="C2">
        <v>9213</v>
      </c>
      <c r="D2">
        <v>4204.8</v>
      </c>
      <c r="E2">
        <v>38738822.399999999</v>
      </c>
      <c r="F2">
        <v>4415.04</v>
      </c>
      <c r="G2">
        <v>15000</v>
      </c>
      <c r="H2">
        <v>0</v>
      </c>
      <c r="I2">
        <v>5</v>
      </c>
      <c r="J2">
        <v>200</v>
      </c>
      <c r="K2">
        <v>5150</v>
      </c>
      <c r="L2">
        <v>27639</v>
      </c>
    </row>
    <row r="3" spans="1:12" x14ac:dyDescent="0.35">
      <c r="A3" t="s">
        <v>214</v>
      </c>
      <c r="B3" t="s">
        <v>191</v>
      </c>
      <c r="C3">
        <v>502</v>
      </c>
      <c r="D3">
        <v>2978.4</v>
      </c>
      <c r="E3">
        <v>1495156.8</v>
      </c>
      <c r="F3">
        <v>3127.32</v>
      </c>
      <c r="G3">
        <v>10000</v>
      </c>
      <c r="H3">
        <v>0</v>
      </c>
      <c r="I3">
        <v>1.5</v>
      </c>
      <c r="J3">
        <v>100</v>
      </c>
      <c r="K3">
        <v>300</v>
      </c>
      <c r="L3">
        <v>2510</v>
      </c>
    </row>
    <row r="4" spans="1:12" x14ac:dyDescent="0.35">
      <c r="A4" t="s">
        <v>214</v>
      </c>
      <c r="B4" t="s">
        <v>192</v>
      </c>
      <c r="C4">
        <v>10</v>
      </c>
      <c r="D4">
        <v>1971</v>
      </c>
      <c r="E4">
        <v>19710</v>
      </c>
      <c r="F4">
        <v>2069.5500000000002</v>
      </c>
      <c r="G4">
        <v>10000</v>
      </c>
      <c r="H4">
        <v>0</v>
      </c>
      <c r="I4">
        <v>1</v>
      </c>
      <c r="J4">
        <v>50</v>
      </c>
      <c r="K4">
        <v>250</v>
      </c>
      <c r="L4">
        <v>1000</v>
      </c>
    </row>
    <row r="5" spans="1:12" x14ac:dyDescent="0.35">
      <c r="A5" t="s">
        <v>214</v>
      </c>
      <c r="B5" t="s">
        <v>193</v>
      </c>
      <c r="C5">
        <v>7.3</v>
      </c>
      <c r="D5">
        <v>7708.8</v>
      </c>
      <c r="E5">
        <v>56274.239999999998</v>
      </c>
      <c r="F5">
        <v>8094.2400000000007</v>
      </c>
      <c r="G5">
        <v>3000</v>
      </c>
      <c r="H5">
        <v>0</v>
      </c>
      <c r="I5">
        <v>3</v>
      </c>
      <c r="J5">
        <v>30</v>
      </c>
      <c r="K5">
        <v>75</v>
      </c>
      <c r="L5">
        <v>730</v>
      </c>
    </row>
    <row r="6" spans="1:12" x14ac:dyDescent="0.35">
      <c r="A6" t="s">
        <v>214</v>
      </c>
      <c r="B6" t="s">
        <v>194</v>
      </c>
      <c r="C6">
        <v>25</v>
      </c>
      <c r="D6">
        <v>4818</v>
      </c>
      <c r="E6">
        <v>120450</v>
      </c>
      <c r="F6">
        <v>5058.9000000000005</v>
      </c>
      <c r="G6">
        <v>2500</v>
      </c>
      <c r="H6">
        <v>0</v>
      </c>
      <c r="I6">
        <v>2</v>
      </c>
      <c r="J6">
        <v>25</v>
      </c>
      <c r="K6">
        <v>100</v>
      </c>
      <c r="L6">
        <v>1250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7"/>
  <sheetViews>
    <sheetView workbookViewId="0"/>
  </sheetViews>
  <sheetFormatPr defaultRowHeight="14.5" x14ac:dyDescent="0.35"/>
  <sheetData>
    <row r="1" spans="1:6" x14ac:dyDescent="0.35">
      <c r="A1" t="s">
        <v>189</v>
      </c>
      <c r="B1" t="s">
        <v>190</v>
      </c>
      <c r="C1" t="s">
        <v>191</v>
      </c>
      <c r="D1" t="s">
        <v>192</v>
      </c>
      <c r="E1" t="s">
        <v>193</v>
      </c>
      <c r="F1" t="s">
        <v>194</v>
      </c>
    </row>
    <row r="2" spans="1:6" x14ac:dyDescent="0.35">
      <c r="A2">
        <v>2025</v>
      </c>
      <c r="B2">
        <v>0</v>
      </c>
      <c r="C2">
        <v>0</v>
      </c>
      <c r="D2">
        <v>0</v>
      </c>
      <c r="E2">
        <v>0</v>
      </c>
      <c r="F2">
        <v>0</v>
      </c>
    </row>
    <row r="3" spans="1:6" x14ac:dyDescent="0.35">
      <c r="A3">
        <v>2026</v>
      </c>
      <c r="B3">
        <v>0</v>
      </c>
      <c r="C3">
        <v>0</v>
      </c>
      <c r="D3">
        <v>0</v>
      </c>
      <c r="E3">
        <v>0</v>
      </c>
      <c r="F3">
        <v>0</v>
      </c>
    </row>
    <row r="4" spans="1:6" x14ac:dyDescent="0.35">
      <c r="A4">
        <v>2027</v>
      </c>
      <c r="B4">
        <v>0</v>
      </c>
      <c r="C4">
        <v>0</v>
      </c>
      <c r="D4">
        <v>0</v>
      </c>
      <c r="E4">
        <v>0</v>
      </c>
      <c r="F4">
        <v>0</v>
      </c>
    </row>
    <row r="5" spans="1:6" x14ac:dyDescent="0.35">
      <c r="A5">
        <v>2028</v>
      </c>
      <c r="B5">
        <v>0</v>
      </c>
      <c r="C5">
        <v>0</v>
      </c>
      <c r="D5">
        <v>0</v>
      </c>
      <c r="E5">
        <v>0</v>
      </c>
      <c r="F5">
        <v>0</v>
      </c>
    </row>
    <row r="6" spans="1:6" x14ac:dyDescent="0.35">
      <c r="A6">
        <v>2029</v>
      </c>
      <c r="B6">
        <v>0</v>
      </c>
      <c r="C6">
        <v>0</v>
      </c>
      <c r="D6">
        <v>0</v>
      </c>
      <c r="E6">
        <v>0</v>
      </c>
      <c r="F6">
        <v>0</v>
      </c>
    </row>
    <row r="7" spans="1:6" x14ac:dyDescent="0.35">
      <c r="A7">
        <v>2030</v>
      </c>
      <c r="B7">
        <v>43.32</v>
      </c>
      <c r="C7">
        <v>0</v>
      </c>
      <c r="D7">
        <v>0</v>
      </c>
      <c r="E7">
        <v>0</v>
      </c>
      <c r="F7">
        <v>0</v>
      </c>
    </row>
    <row r="8" spans="1:6" x14ac:dyDescent="0.35">
      <c r="A8">
        <v>2031</v>
      </c>
      <c r="B8">
        <v>0</v>
      </c>
      <c r="C8">
        <v>0</v>
      </c>
      <c r="D8">
        <v>0</v>
      </c>
      <c r="E8">
        <v>0</v>
      </c>
      <c r="F8">
        <v>0</v>
      </c>
    </row>
    <row r="9" spans="1:6" x14ac:dyDescent="0.35">
      <c r="A9">
        <v>2032</v>
      </c>
      <c r="B9">
        <v>0</v>
      </c>
      <c r="C9">
        <v>0</v>
      </c>
      <c r="D9">
        <v>0</v>
      </c>
      <c r="E9">
        <v>0</v>
      </c>
      <c r="F9">
        <v>0</v>
      </c>
    </row>
    <row r="10" spans="1:6" x14ac:dyDescent="0.35">
      <c r="A10">
        <v>2033</v>
      </c>
      <c r="B10">
        <v>0</v>
      </c>
      <c r="C10">
        <v>0</v>
      </c>
      <c r="D10">
        <v>0</v>
      </c>
      <c r="E10">
        <v>0</v>
      </c>
      <c r="F10">
        <v>0</v>
      </c>
    </row>
    <row r="11" spans="1:6" x14ac:dyDescent="0.35">
      <c r="A11">
        <v>2034</v>
      </c>
      <c r="B11">
        <v>0</v>
      </c>
      <c r="C11">
        <v>0</v>
      </c>
      <c r="D11">
        <v>0</v>
      </c>
      <c r="E11">
        <v>0</v>
      </c>
      <c r="F11">
        <v>0</v>
      </c>
    </row>
    <row r="12" spans="1:6" x14ac:dyDescent="0.35">
      <c r="A12">
        <v>2035</v>
      </c>
      <c r="B12">
        <v>43.32</v>
      </c>
      <c r="C12">
        <v>0</v>
      </c>
      <c r="D12">
        <v>0</v>
      </c>
      <c r="E12">
        <v>0</v>
      </c>
      <c r="F12">
        <v>0</v>
      </c>
    </row>
    <row r="13" spans="1:6" x14ac:dyDescent="0.35">
      <c r="A13">
        <v>2036</v>
      </c>
      <c r="B13">
        <v>0</v>
      </c>
      <c r="C13">
        <v>0</v>
      </c>
      <c r="D13">
        <v>0</v>
      </c>
      <c r="E13">
        <v>0</v>
      </c>
      <c r="F13">
        <v>0</v>
      </c>
    </row>
    <row r="14" spans="1:6" x14ac:dyDescent="0.35">
      <c r="A14">
        <v>2037</v>
      </c>
      <c r="B14">
        <v>0</v>
      </c>
      <c r="C14">
        <v>0</v>
      </c>
      <c r="D14">
        <v>0</v>
      </c>
      <c r="E14">
        <v>0</v>
      </c>
      <c r="F14">
        <v>0</v>
      </c>
    </row>
    <row r="15" spans="1:6" x14ac:dyDescent="0.35">
      <c r="A15">
        <v>2038</v>
      </c>
      <c r="B15">
        <v>0</v>
      </c>
      <c r="C15">
        <v>0</v>
      </c>
      <c r="D15">
        <v>0</v>
      </c>
      <c r="E15">
        <v>0</v>
      </c>
      <c r="F15">
        <v>0</v>
      </c>
    </row>
    <row r="16" spans="1:6" x14ac:dyDescent="0.35">
      <c r="A16">
        <v>2039</v>
      </c>
      <c r="B16">
        <v>0</v>
      </c>
      <c r="C16">
        <v>0</v>
      </c>
      <c r="D16">
        <v>0</v>
      </c>
      <c r="E16">
        <v>0</v>
      </c>
      <c r="F16">
        <v>0</v>
      </c>
    </row>
    <row r="17" spans="1:6" x14ac:dyDescent="0.35">
      <c r="A17">
        <v>2040</v>
      </c>
      <c r="B17">
        <v>32</v>
      </c>
      <c r="C17">
        <v>0</v>
      </c>
      <c r="D17">
        <v>0</v>
      </c>
      <c r="E17">
        <v>0</v>
      </c>
      <c r="F17">
        <v>0</v>
      </c>
    </row>
    <row r="18" spans="1:6" x14ac:dyDescent="0.35">
      <c r="A18">
        <v>2041</v>
      </c>
      <c r="B18">
        <v>0</v>
      </c>
      <c r="C18">
        <v>65</v>
      </c>
      <c r="D18">
        <v>0</v>
      </c>
      <c r="E18">
        <v>0</v>
      </c>
      <c r="F18">
        <v>0</v>
      </c>
    </row>
    <row r="19" spans="1:6" x14ac:dyDescent="0.35">
      <c r="A19">
        <v>2042</v>
      </c>
      <c r="B19">
        <v>0</v>
      </c>
      <c r="C19">
        <v>0</v>
      </c>
      <c r="D19">
        <v>0</v>
      </c>
      <c r="E19">
        <v>0</v>
      </c>
      <c r="F19">
        <v>0</v>
      </c>
    </row>
    <row r="20" spans="1:6" x14ac:dyDescent="0.35">
      <c r="A20">
        <v>2043</v>
      </c>
      <c r="B20">
        <v>0</v>
      </c>
      <c r="C20">
        <v>0</v>
      </c>
      <c r="D20">
        <v>0</v>
      </c>
      <c r="E20">
        <v>0</v>
      </c>
      <c r="F20">
        <v>0</v>
      </c>
    </row>
    <row r="21" spans="1:6" x14ac:dyDescent="0.35">
      <c r="A21">
        <v>2044</v>
      </c>
      <c r="B21">
        <v>0</v>
      </c>
      <c r="C21">
        <v>0</v>
      </c>
      <c r="D21">
        <v>0</v>
      </c>
      <c r="E21">
        <v>0</v>
      </c>
      <c r="F21">
        <v>0</v>
      </c>
    </row>
    <row r="22" spans="1:6" x14ac:dyDescent="0.35">
      <c r="A22">
        <v>2045</v>
      </c>
      <c r="B22">
        <v>50</v>
      </c>
      <c r="C22">
        <v>0</v>
      </c>
      <c r="D22">
        <v>0</v>
      </c>
      <c r="E22">
        <v>0</v>
      </c>
      <c r="F22">
        <v>10</v>
      </c>
    </row>
    <row r="23" spans="1:6" x14ac:dyDescent="0.35">
      <c r="A23">
        <v>2046</v>
      </c>
      <c r="B23">
        <v>0</v>
      </c>
      <c r="C23">
        <v>0</v>
      </c>
      <c r="D23">
        <v>0</v>
      </c>
      <c r="E23">
        <v>0</v>
      </c>
      <c r="F23">
        <v>0</v>
      </c>
    </row>
    <row r="24" spans="1:6" x14ac:dyDescent="0.35">
      <c r="A24">
        <v>2047</v>
      </c>
      <c r="B24">
        <v>0</v>
      </c>
      <c r="C24">
        <v>0</v>
      </c>
      <c r="D24">
        <v>0</v>
      </c>
      <c r="E24">
        <v>7.3</v>
      </c>
      <c r="F24">
        <v>0</v>
      </c>
    </row>
    <row r="25" spans="1:6" x14ac:dyDescent="0.35">
      <c r="A25">
        <v>2048</v>
      </c>
      <c r="B25">
        <v>0</v>
      </c>
      <c r="C25">
        <v>0</v>
      </c>
      <c r="D25">
        <v>0</v>
      </c>
      <c r="E25">
        <v>0</v>
      </c>
      <c r="F25">
        <v>0</v>
      </c>
    </row>
    <row r="26" spans="1:6" x14ac:dyDescent="0.35">
      <c r="A26">
        <v>2049</v>
      </c>
      <c r="B26">
        <v>153</v>
      </c>
      <c r="C26">
        <v>0</v>
      </c>
      <c r="D26">
        <v>0</v>
      </c>
      <c r="E26">
        <v>0</v>
      </c>
      <c r="F26">
        <v>0</v>
      </c>
    </row>
    <row r="27" spans="1:6" x14ac:dyDescent="0.35">
      <c r="A27">
        <v>2050</v>
      </c>
      <c r="B27">
        <v>0</v>
      </c>
      <c r="C27">
        <v>0</v>
      </c>
      <c r="D27">
        <v>0</v>
      </c>
      <c r="E27">
        <v>0</v>
      </c>
      <c r="F27">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7"/>
  <sheetViews>
    <sheetView workbookViewId="0"/>
  </sheetViews>
  <sheetFormatPr defaultRowHeight="14.5" x14ac:dyDescent="0.35"/>
  <sheetData>
    <row r="1" spans="1:3" x14ac:dyDescent="0.35">
      <c r="A1" t="s">
        <v>189</v>
      </c>
      <c r="B1" t="s">
        <v>225</v>
      </c>
      <c r="C1" t="s">
        <v>226</v>
      </c>
    </row>
    <row r="2" spans="1:3" x14ac:dyDescent="0.35">
      <c r="A2">
        <v>2025</v>
      </c>
      <c r="B2">
        <v>40000000</v>
      </c>
      <c r="C2">
        <v>40000000</v>
      </c>
    </row>
    <row r="3" spans="1:3" x14ac:dyDescent="0.35">
      <c r="A3">
        <v>2026</v>
      </c>
      <c r="B3">
        <v>41400000</v>
      </c>
      <c r="C3">
        <v>41800000</v>
      </c>
    </row>
    <row r="4" spans="1:3" x14ac:dyDescent="0.35">
      <c r="A4">
        <v>2027</v>
      </c>
      <c r="B4">
        <v>42848999.999999993</v>
      </c>
      <c r="C4">
        <v>43680999.999999993</v>
      </c>
    </row>
    <row r="5" spans="1:3" x14ac:dyDescent="0.35">
      <c r="A5">
        <v>2028</v>
      </c>
      <c r="B5">
        <v>44348714.999999993</v>
      </c>
      <c r="C5">
        <v>45646644.999999993</v>
      </c>
    </row>
    <row r="6" spans="1:3" x14ac:dyDescent="0.35">
      <c r="A6">
        <v>2029</v>
      </c>
      <c r="B6">
        <v>45900920.024999984</v>
      </c>
      <c r="C6">
        <v>47700744.024999991</v>
      </c>
    </row>
    <row r="7" spans="1:3" x14ac:dyDescent="0.35">
      <c r="A7">
        <v>2030</v>
      </c>
      <c r="B7">
        <v>47507452.225874983</v>
      </c>
      <c r="C7">
        <v>49847277.506124981</v>
      </c>
    </row>
    <row r="8" spans="1:3" x14ac:dyDescent="0.35">
      <c r="A8">
        <v>2031</v>
      </c>
      <c r="B8">
        <v>49170213.0537806</v>
      </c>
      <c r="C8">
        <v>52090404.993900597</v>
      </c>
    </row>
    <row r="9" spans="1:3" x14ac:dyDescent="0.35">
      <c r="A9">
        <v>2032</v>
      </c>
      <c r="B9">
        <v>50891170.510662913</v>
      </c>
      <c r="C9">
        <v>54434473.218626127</v>
      </c>
    </row>
    <row r="10" spans="1:3" x14ac:dyDescent="0.35">
      <c r="A10">
        <v>2033</v>
      </c>
      <c r="B10">
        <v>52672361.478536107</v>
      </c>
      <c r="C10">
        <v>56884024.513464287</v>
      </c>
    </row>
    <row r="11" spans="1:3" x14ac:dyDescent="0.35">
      <c r="A11">
        <v>2034</v>
      </c>
      <c r="B11">
        <v>54515894.130284883</v>
      </c>
      <c r="C11">
        <v>59443805.616570182</v>
      </c>
    </row>
    <row r="12" spans="1:3" x14ac:dyDescent="0.35">
      <c r="A12">
        <v>2035</v>
      </c>
      <c r="B12">
        <v>56423950.424844839</v>
      </c>
      <c r="C12">
        <v>62118776.86931584</v>
      </c>
    </row>
    <row r="13" spans="1:3" x14ac:dyDescent="0.35">
      <c r="A13">
        <v>2036</v>
      </c>
      <c r="B13">
        <v>58398788.689714409</v>
      </c>
      <c r="C13">
        <v>64914121.828435048</v>
      </c>
    </row>
    <row r="14" spans="1:3" x14ac:dyDescent="0.35">
      <c r="A14">
        <v>2037</v>
      </c>
      <c r="B14">
        <v>60442746.293854401</v>
      </c>
      <c r="C14">
        <v>67835257.310714617</v>
      </c>
    </row>
    <row r="15" spans="1:3" x14ac:dyDescent="0.35">
      <c r="A15">
        <v>2038</v>
      </c>
      <c r="B15">
        <v>62558242.414139308</v>
      </c>
      <c r="C15">
        <v>70887843.889696777</v>
      </c>
    </row>
    <row r="16" spans="1:3" x14ac:dyDescent="0.35">
      <c r="A16">
        <v>2039</v>
      </c>
      <c r="B16">
        <v>64747780.89863418</v>
      </c>
      <c r="C16">
        <v>74077796.86473313</v>
      </c>
    </row>
    <row r="17" spans="1:3" x14ac:dyDescent="0.35">
      <c r="A17">
        <v>2040</v>
      </c>
      <c r="B17">
        <v>67013953.230086356</v>
      </c>
      <c r="C17">
        <v>77411297.723646119</v>
      </c>
    </row>
    <row r="18" spans="1:3" x14ac:dyDescent="0.35">
      <c r="A18">
        <v>2041</v>
      </c>
      <c r="B18">
        <v>69359441.593139395</v>
      </c>
      <c r="C18">
        <v>80894806.121210188</v>
      </c>
    </row>
    <row r="19" spans="1:3" x14ac:dyDescent="0.35">
      <c r="A19">
        <v>2042</v>
      </c>
      <c r="B19">
        <v>71787022.048899263</v>
      </c>
      <c r="C19">
        <v>84535072.396664634</v>
      </c>
    </row>
    <row r="20" spans="1:3" x14ac:dyDescent="0.35">
      <c r="A20">
        <v>2043</v>
      </c>
      <c r="B20">
        <v>74299567.820610732</v>
      </c>
      <c r="C20">
        <v>88339150.654514536</v>
      </c>
    </row>
    <row r="21" spans="1:3" x14ac:dyDescent="0.35">
      <c r="A21">
        <v>2044</v>
      </c>
      <c r="B21">
        <v>76900052.694332108</v>
      </c>
      <c r="C21">
        <v>92314412.43396768</v>
      </c>
    </row>
    <row r="22" spans="1:3" x14ac:dyDescent="0.35">
      <c r="A22">
        <v>2045</v>
      </c>
      <c r="B22">
        <v>79591554.538633719</v>
      </c>
      <c r="C22">
        <v>96468560.993496209</v>
      </c>
    </row>
    <row r="23" spans="1:3" x14ac:dyDescent="0.35">
      <c r="A23">
        <v>2046</v>
      </c>
      <c r="B23">
        <v>82377258.947485894</v>
      </c>
      <c r="C23">
        <v>100809646.2382036</v>
      </c>
    </row>
    <row r="24" spans="1:3" x14ac:dyDescent="0.35">
      <c r="A24">
        <v>2047</v>
      </c>
      <c r="B24">
        <v>85260463.010647878</v>
      </c>
      <c r="C24">
        <v>105346080.3189227</v>
      </c>
    </row>
    <row r="25" spans="1:3" x14ac:dyDescent="0.35">
      <c r="A25">
        <v>2048</v>
      </c>
      <c r="B25">
        <v>88244579.216020554</v>
      </c>
      <c r="C25">
        <v>110086653.93327419</v>
      </c>
    </row>
    <row r="26" spans="1:3" x14ac:dyDescent="0.35">
      <c r="A26">
        <v>2049</v>
      </c>
      <c r="B26">
        <v>91333139.48858127</v>
      </c>
      <c r="C26">
        <v>115040553.3602715</v>
      </c>
    </row>
    <row r="27" spans="1:3" x14ac:dyDescent="0.35">
      <c r="A27">
        <v>2050</v>
      </c>
      <c r="B27">
        <v>94529799.370681614</v>
      </c>
      <c r="C27">
        <v>120217378.2614838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4"/>
  <sheetViews>
    <sheetView topLeftCell="A7" workbookViewId="0">
      <selection activeCell="C10" sqref="C10"/>
    </sheetView>
  </sheetViews>
  <sheetFormatPr defaultRowHeight="14.5" x14ac:dyDescent="0.35"/>
  <cols>
    <col min="1" max="1" width="18" customWidth="1"/>
    <col min="2" max="2" width="14" customWidth="1"/>
    <col min="3" max="3" width="16" customWidth="1"/>
    <col min="4" max="4" width="30" customWidth="1"/>
    <col min="5" max="6" width="50" customWidth="1"/>
    <col min="7" max="7" width="4" customWidth="1"/>
  </cols>
  <sheetData>
    <row r="1" spans="1:7" ht="21" x14ac:dyDescent="0.5">
      <c r="A1" s="5" t="s">
        <v>227</v>
      </c>
      <c r="B1" s="6"/>
      <c r="C1" s="6"/>
      <c r="D1" s="6"/>
      <c r="E1" s="6"/>
      <c r="F1" s="6"/>
      <c r="G1" s="6"/>
    </row>
    <row r="2" spans="1:7" ht="80" customHeight="1" x14ac:dyDescent="0.35">
      <c r="A2" s="8" t="s">
        <v>228</v>
      </c>
      <c r="B2" s="6"/>
      <c r="C2" s="6"/>
      <c r="D2" s="6"/>
      <c r="E2" s="6"/>
      <c r="F2" s="6"/>
      <c r="G2" s="6"/>
    </row>
    <row r="4" spans="1:7" ht="22" customHeight="1" x14ac:dyDescent="0.35">
      <c r="A4" s="7" t="s">
        <v>229</v>
      </c>
      <c r="B4" s="6"/>
      <c r="C4" s="6"/>
      <c r="D4" s="6"/>
      <c r="E4" s="6"/>
      <c r="F4" s="6"/>
      <c r="G4" s="6"/>
    </row>
    <row r="5" spans="1:7" ht="30" customHeight="1" x14ac:dyDescent="0.35">
      <c r="A5" s="1" t="s">
        <v>230</v>
      </c>
      <c r="B5" s="1" t="s">
        <v>197</v>
      </c>
      <c r="C5" s="1" t="s">
        <v>231</v>
      </c>
      <c r="D5" s="1" t="s">
        <v>232</v>
      </c>
      <c r="E5" s="1" t="s">
        <v>233</v>
      </c>
      <c r="F5" s="1" t="s">
        <v>234</v>
      </c>
    </row>
    <row r="6" spans="1:7" ht="110" customHeight="1" x14ac:dyDescent="0.35">
      <c r="A6" s="2" t="s">
        <v>190</v>
      </c>
      <c r="B6" s="2">
        <v>9213</v>
      </c>
      <c r="C6" s="2">
        <v>15000</v>
      </c>
      <c r="D6" s="2" t="s">
        <v>235</v>
      </c>
      <c r="E6" s="2" t="s">
        <v>236</v>
      </c>
      <c r="F6" s="3" t="s">
        <v>237</v>
      </c>
    </row>
    <row r="7" spans="1:7" ht="110" customHeight="1" x14ac:dyDescent="0.35">
      <c r="A7" s="2" t="s">
        <v>191</v>
      </c>
      <c r="B7" s="2">
        <v>502</v>
      </c>
      <c r="C7" s="2">
        <v>10000</v>
      </c>
      <c r="D7" s="2" t="s">
        <v>238</v>
      </c>
      <c r="E7" s="2" t="s">
        <v>239</v>
      </c>
      <c r="F7" s="3" t="s">
        <v>240</v>
      </c>
    </row>
    <row r="8" spans="1:7" ht="110" customHeight="1" x14ac:dyDescent="0.35">
      <c r="A8" s="2" t="s">
        <v>192</v>
      </c>
      <c r="B8" s="2">
        <v>10</v>
      </c>
      <c r="C8" s="2">
        <v>10000</v>
      </c>
      <c r="D8" s="2" t="s">
        <v>241</v>
      </c>
      <c r="E8" s="2" t="s">
        <v>242</v>
      </c>
      <c r="F8" s="3" t="s">
        <v>243</v>
      </c>
    </row>
    <row r="9" spans="1:7" ht="110" customHeight="1" x14ac:dyDescent="0.35">
      <c r="A9" s="2" t="s">
        <v>193</v>
      </c>
      <c r="B9" s="2">
        <v>7.3</v>
      </c>
      <c r="C9" s="2">
        <v>3000</v>
      </c>
      <c r="D9" s="2" t="s">
        <v>244</v>
      </c>
      <c r="E9" s="2" t="s">
        <v>245</v>
      </c>
      <c r="F9" s="3" t="s">
        <v>246</v>
      </c>
    </row>
    <row r="10" spans="1:7" ht="110" customHeight="1" x14ac:dyDescent="0.35">
      <c r="A10" s="2" t="s">
        <v>194</v>
      </c>
      <c r="B10" s="2">
        <v>25</v>
      </c>
      <c r="C10" s="2">
        <v>1000</v>
      </c>
      <c r="D10" s="2" t="s">
        <v>247</v>
      </c>
      <c r="E10" s="2" t="s">
        <v>248</v>
      </c>
      <c r="F10" s="3" t="s">
        <v>249</v>
      </c>
    </row>
    <row r="12" spans="1:7" ht="22" customHeight="1" x14ac:dyDescent="0.35">
      <c r="A12" s="7" t="s">
        <v>250</v>
      </c>
      <c r="B12" s="6"/>
      <c r="C12" s="6"/>
      <c r="D12" s="6"/>
      <c r="E12" s="6"/>
      <c r="F12" s="6"/>
      <c r="G12" s="6"/>
    </row>
    <row r="13" spans="1:7" ht="30" customHeight="1" x14ac:dyDescent="0.35">
      <c r="A13" s="1" t="s">
        <v>230</v>
      </c>
      <c r="B13" s="1" t="s">
        <v>251</v>
      </c>
      <c r="C13" s="1" t="s">
        <v>252</v>
      </c>
      <c r="D13" s="1" t="s">
        <v>253</v>
      </c>
      <c r="E13" s="1" t="s">
        <v>233</v>
      </c>
      <c r="F13" s="1" t="s">
        <v>234</v>
      </c>
    </row>
    <row r="14" spans="1:7" ht="120" customHeight="1" x14ac:dyDescent="0.35">
      <c r="A14" s="2" t="s">
        <v>190</v>
      </c>
      <c r="B14" s="2">
        <v>0.48</v>
      </c>
      <c r="C14" s="2">
        <v>4205</v>
      </c>
      <c r="D14" s="2" t="s">
        <v>254</v>
      </c>
      <c r="E14" s="2" t="s">
        <v>255</v>
      </c>
      <c r="F14" s="3" t="s">
        <v>256</v>
      </c>
    </row>
    <row r="15" spans="1:7" ht="120" customHeight="1" x14ac:dyDescent="0.35">
      <c r="A15" s="2" t="s">
        <v>191</v>
      </c>
      <c r="B15" s="2">
        <v>0.34</v>
      </c>
      <c r="C15" s="2">
        <v>2978</v>
      </c>
      <c r="D15" s="2" t="s">
        <v>257</v>
      </c>
      <c r="E15" s="2" t="s">
        <v>258</v>
      </c>
      <c r="F15" s="3" t="s">
        <v>259</v>
      </c>
    </row>
    <row r="16" spans="1:7" ht="120" customHeight="1" x14ac:dyDescent="0.35">
      <c r="A16" s="2" t="s">
        <v>192</v>
      </c>
      <c r="B16" s="2">
        <v>0.22500000000000001</v>
      </c>
      <c r="C16" s="2">
        <v>1971</v>
      </c>
      <c r="D16" s="2" t="s">
        <v>260</v>
      </c>
      <c r="E16" s="2" t="s">
        <v>261</v>
      </c>
      <c r="F16" s="3" t="s">
        <v>262</v>
      </c>
    </row>
    <row r="17" spans="1:7" ht="120" customHeight="1" x14ac:dyDescent="0.35">
      <c r="A17" s="2" t="s">
        <v>193</v>
      </c>
      <c r="B17" s="2">
        <v>0.88</v>
      </c>
      <c r="C17" s="2">
        <v>7709</v>
      </c>
      <c r="D17" s="2" t="s">
        <v>263</v>
      </c>
      <c r="E17" s="2" t="s">
        <v>264</v>
      </c>
      <c r="F17" s="3" t="s">
        <v>265</v>
      </c>
    </row>
    <row r="18" spans="1:7" ht="120" customHeight="1" x14ac:dyDescent="0.35">
      <c r="A18" s="2" t="s">
        <v>194</v>
      </c>
      <c r="B18" s="2">
        <v>0.55000000000000004</v>
      </c>
      <c r="C18" s="2">
        <v>4818</v>
      </c>
      <c r="D18" s="2" t="s">
        <v>266</v>
      </c>
      <c r="E18" s="2" t="s">
        <v>267</v>
      </c>
      <c r="F18" s="3" t="s">
        <v>268</v>
      </c>
    </row>
    <row r="20" spans="1:7" ht="22" customHeight="1" x14ac:dyDescent="0.35">
      <c r="A20" s="7" t="s">
        <v>269</v>
      </c>
      <c r="B20" s="6"/>
      <c r="C20" s="6"/>
      <c r="D20" s="6"/>
      <c r="E20" s="6"/>
      <c r="F20" s="6"/>
      <c r="G20" s="6"/>
    </row>
    <row r="21" spans="1:7" ht="30" customHeight="1" x14ac:dyDescent="0.35">
      <c r="A21" s="1" t="s">
        <v>230</v>
      </c>
      <c r="B21" s="1" t="s">
        <v>270</v>
      </c>
      <c r="C21" s="1" t="s">
        <v>271</v>
      </c>
      <c r="D21" s="1" t="s">
        <v>272</v>
      </c>
      <c r="E21" s="1" t="s">
        <v>233</v>
      </c>
      <c r="F21" s="1" t="s">
        <v>234</v>
      </c>
    </row>
    <row r="22" spans="1:7" ht="130" customHeight="1" x14ac:dyDescent="0.35">
      <c r="A22" s="2" t="s">
        <v>190</v>
      </c>
      <c r="B22" s="2">
        <v>1200</v>
      </c>
      <c r="C22" s="2">
        <v>1000</v>
      </c>
      <c r="D22" s="2" t="s">
        <v>273</v>
      </c>
      <c r="E22" s="2" t="s">
        <v>274</v>
      </c>
      <c r="F22" s="3" t="s">
        <v>275</v>
      </c>
    </row>
    <row r="23" spans="1:7" ht="130" customHeight="1" x14ac:dyDescent="0.35">
      <c r="A23" s="2" t="s">
        <v>191</v>
      </c>
      <c r="B23" s="2">
        <v>1300</v>
      </c>
      <c r="C23" s="2">
        <v>900</v>
      </c>
      <c r="D23" s="2" t="s">
        <v>276</v>
      </c>
      <c r="E23" s="2" t="s">
        <v>277</v>
      </c>
      <c r="F23" s="3" t="s">
        <v>278</v>
      </c>
    </row>
    <row r="24" spans="1:7" ht="130" customHeight="1" x14ac:dyDescent="0.35">
      <c r="A24" s="2" t="s">
        <v>192</v>
      </c>
      <c r="B24" s="2">
        <v>900</v>
      </c>
      <c r="C24" s="2">
        <v>400</v>
      </c>
      <c r="D24" s="2" t="s">
        <v>279</v>
      </c>
      <c r="E24" s="2" t="s">
        <v>280</v>
      </c>
      <c r="F24" s="3" t="s">
        <v>281</v>
      </c>
    </row>
    <row r="25" spans="1:7" ht="130" customHeight="1" x14ac:dyDescent="0.35">
      <c r="A25" s="2" t="s">
        <v>193</v>
      </c>
      <c r="B25" s="2">
        <v>4000</v>
      </c>
      <c r="C25" s="2">
        <v>3500</v>
      </c>
      <c r="D25" s="2" t="s">
        <v>282</v>
      </c>
      <c r="E25" s="2" t="s">
        <v>283</v>
      </c>
      <c r="F25" s="3" t="s">
        <v>284</v>
      </c>
    </row>
    <row r="26" spans="1:7" ht="130" customHeight="1" x14ac:dyDescent="0.35">
      <c r="A26" s="2" t="s">
        <v>194</v>
      </c>
      <c r="B26" s="2">
        <v>2000</v>
      </c>
      <c r="C26" s="2">
        <v>1800</v>
      </c>
      <c r="D26" s="2" t="s">
        <v>285</v>
      </c>
      <c r="E26" s="2" t="s">
        <v>286</v>
      </c>
      <c r="F26" s="3" t="s">
        <v>287</v>
      </c>
    </row>
    <row r="28" spans="1:7" ht="22" customHeight="1" x14ac:dyDescent="0.35">
      <c r="A28" s="7" t="s">
        <v>288</v>
      </c>
      <c r="B28" s="6"/>
      <c r="C28" s="6"/>
      <c r="D28" s="6"/>
      <c r="E28" s="6"/>
      <c r="F28" s="6"/>
      <c r="G28" s="6"/>
    </row>
    <row r="29" spans="1:7" ht="30" customHeight="1" x14ac:dyDescent="0.35">
      <c r="A29" s="1" t="s">
        <v>230</v>
      </c>
      <c r="B29" s="1" t="s">
        <v>200</v>
      </c>
      <c r="C29" s="1" t="s">
        <v>289</v>
      </c>
      <c r="D29" s="1" t="s">
        <v>233</v>
      </c>
      <c r="E29" s="1" t="s">
        <v>234</v>
      </c>
      <c r="F29" s="1" t="s">
        <v>290</v>
      </c>
    </row>
    <row r="30" spans="1:7" ht="100" customHeight="1" x14ac:dyDescent="0.35">
      <c r="A30" s="2" t="s">
        <v>190</v>
      </c>
      <c r="B30" s="2">
        <v>3.4</v>
      </c>
      <c r="C30" s="2">
        <v>30</v>
      </c>
      <c r="D30" s="2" t="s">
        <v>291</v>
      </c>
      <c r="E30" s="2" t="s">
        <v>292</v>
      </c>
      <c r="F30" s="3"/>
    </row>
    <row r="31" spans="1:7" ht="100" customHeight="1" x14ac:dyDescent="0.35">
      <c r="A31" s="2" t="s">
        <v>191</v>
      </c>
      <c r="B31" s="2">
        <v>3</v>
      </c>
      <c r="C31" s="2">
        <v>25</v>
      </c>
      <c r="D31" s="2" t="s">
        <v>293</v>
      </c>
      <c r="E31" s="2" t="s">
        <v>294</v>
      </c>
      <c r="F31" s="3"/>
    </row>
    <row r="32" spans="1:7" ht="100" customHeight="1" x14ac:dyDescent="0.35">
      <c r="A32" s="2" t="s">
        <v>192</v>
      </c>
      <c r="B32" s="2">
        <v>1.5</v>
      </c>
      <c r="C32" s="2">
        <v>15</v>
      </c>
      <c r="D32" s="2" t="s">
        <v>295</v>
      </c>
      <c r="E32" s="2" t="s">
        <v>296</v>
      </c>
      <c r="F32" s="3"/>
    </row>
    <row r="33" spans="1:7" ht="100" customHeight="1" x14ac:dyDescent="0.35">
      <c r="A33" s="2" t="s">
        <v>193</v>
      </c>
      <c r="B33" s="2">
        <v>6</v>
      </c>
      <c r="C33" s="2">
        <v>40</v>
      </c>
      <c r="D33" s="2" t="s">
        <v>297</v>
      </c>
      <c r="E33" s="2" t="s">
        <v>298</v>
      </c>
      <c r="F33" s="3"/>
    </row>
    <row r="34" spans="1:7" ht="100" customHeight="1" x14ac:dyDescent="0.35">
      <c r="A34" s="2" t="s">
        <v>194</v>
      </c>
      <c r="B34" s="2">
        <v>30</v>
      </c>
      <c r="C34" s="2">
        <v>45</v>
      </c>
      <c r="D34" s="2" t="s">
        <v>299</v>
      </c>
      <c r="E34" s="2" t="s">
        <v>300</v>
      </c>
      <c r="F34" s="3"/>
    </row>
    <row r="36" spans="1:7" ht="22" customHeight="1" x14ac:dyDescent="0.35">
      <c r="A36" s="7" t="s">
        <v>301</v>
      </c>
      <c r="B36" s="6"/>
      <c r="C36" s="6"/>
      <c r="D36" s="6"/>
      <c r="E36" s="6"/>
      <c r="F36" s="6"/>
      <c r="G36" s="6"/>
    </row>
    <row r="37" spans="1:7" ht="30" customHeight="1" x14ac:dyDescent="0.35">
      <c r="A37" s="1" t="s">
        <v>230</v>
      </c>
      <c r="B37" s="1" t="s">
        <v>198</v>
      </c>
      <c r="C37" s="1" t="s">
        <v>233</v>
      </c>
      <c r="D37" s="1" t="s">
        <v>234</v>
      </c>
      <c r="E37" s="1" t="s">
        <v>290</v>
      </c>
      <c r="F37" s="1" t="s">
        <v>290</v>
      </c>
    </row>
    <row r="38" spans="1:7" ht="80" customHeight="1" x14ac:dyDescent="0.35">
      <c r="A38" s="2" t="s">
        <v>190</v>
      </c>
      <c r="B38" s="2">
        <v>0</v>
      </c>
      <c r="C38" s="2" t="s">
        <v>302</v>
      </c>
      <c r="D38" s="2" t="s">
        <v>303</v>
      </c>
      <c r="E38" s="2"/>
      <c r="F38" s="3"/>
    </row>
    <row r="39" spans="1:7" ht="80" customHeight="1" x14ac:dyDescent="0.35">
      <c r="A39" s="2" t="s">
        <v>191</v>
      </c>
      <c r="B39" s="2">
        <v>0</v>
      </c>
      <c r="C39" s="2" t="s">
        <v>304</v>
      </c>
      <c r="D39" s="2" t="s">
        <v>305</v>
      </c>
      <c r="E39" s="2"/>
      <c r="F39" s="3"/>
    </row>
    <row r="40" spans="1:7" ht="80" customHeight="1" x14ac:dyDescent="0.35">
      <c r="A40" s="2" t="s">
        <v>192</v>
      </c>
      <c r="B40" s="2">
        <v>0</v>
      </c>
      <c r="C40" s="2" t="s">
        <v>304</v>
      </c>
      <c r="D40" s="2" t="s">
        <v>305</v>
      </c>
      <c r="E40" s="2"/>
      <c r="F40" s="3"/>
    </row>
    <row r="41" spans="1:7" ht="80" customHeight="1" x14ac:dyDescent="0.35">
      <c r="A41" s="2" t="s">
        <v>193</v>
      </c>
      <c r="B41" s="2">
        <v>50</v>
      </c>
      <c r="C41" s="2" t="s">
        <v>306</v>
      </c>
      <c r="D41" s="2" t="s">
        <v>307</v>
      </c>
      <c r="E41" s="2"/>
      <c r="F41" s="3"/>
    </row>
    <row r="42" spans="1:7" ht="80" customHeight="1" x14ac:dyDescent="0.35">
      <c r="A42" s="2" t="s">
        <v>194</v>
      </c>
      <c r="B42" s="2">
        <v>230</v>
      </c>
      <c r="C42" s="2" t="s">
        <v>308</v>
      </c>
      <c r="D42" s="2" t="s">
        <v>309</v>
      </c>
      <c r="E42" s="2"/>
      <c r="F42" s="3"/>
    </row>
    <row r="44" spans="1:7" ht="22" customHeight="1" x14ac:dyDescent="0.35">
      <c r="A44" s="7" t="s">
        <v>310</v>
      </c>
      <c r="B44" s="6"/>
      <c r="C44" s="6"/>
      <c r="D44" s="6"/>
      <c r="E44" s="6"/>
      <c r="F44" s="6"/>
      <c r="G44" s="6"/>
    </row>
    <row r="45" spans="1:7" ht="30" customHeight="1" x14ac:dyDescent="0.35">
      <c r="A45" s="1" t="s">
        <v>311</v>
      </c>
      <c r="B45" s="1" t="s">
        <v>312</v>
      </c>
      <c r="C45" s="1" t="s">
        <v>313</v>
      </c>
      <c r="D45" s="1" t="s">
        <v>314</v>
      </c>
      <c r="E45" s="1" t="s">
        <v>233</v>
      </c>
      <c r="F45" s="1" t="s">
        <v>234</v>
      </c>
    </row>
    <row r="46" spans="1:7" ht="100" customHeight="1" x14ac:dyDescent="0.35">
      <c r="A46" s="2" t="s">
        <v>315</v>
      </c>
      <c r="B46" s="2">
        <v>40</v>
      </c>
      <c r="C46" s="2">
        <v>40</v>
      </c>
      <c r="D46" s="2" t="s">
        <v>316</v>
      </c>
      <c r="E46" s="2" t="s">
        <v>317</v>
      </c>
      <c r="F46" s="3" t="s">
        <v>318</v>
      </c>
    </row>
    <row r="47" spans="1:7" ht="100" customHeight="1" x14ac:dyDescent="0.35">
      <c r="A47" s="2" t="s">
        <v>319</v>
      </c>
      <c r="B47" s="2" t="s">
        <v>320</v>
      </c>
      <c r="C47" s="2" t="s">
        <v>316</v>
      </c>
      <c r="D47" s="2" t="s">
        <v>321</v>
      </c>
      <c r="E47" s="2" t="s">
        <v>322</v>
      </c>
      <c r="F47" s="3" t="s">
        <v>323</v>
      </c>
    </row>
    <row r="48" spans="1:7" ht="100" customHeight="1" x14ac:dyDescent="0.35">
      <c r="A48" s="2" t="s">
        <v>324</v>
      </c>
      <c r="B48" s="2" t="s">
        <v>316</v>
      </c>
      <c r="C48" s="2" t="s">
        <v>320</v>
      </c>
      <c r="D48" s="2" t="s">
        <v>325</v>
      </c>
      <c r="E48" s="2" t="s">
        <v>326</v>
      </c>
      <c r="F48" s="3" t="s">
        <v>327</v>
      </c>
    </row>
    <row r="49" spans="1:7" ht="100" customHeight="1" x14ac:dyDescent="0.35">
      <c r="A49" s="2" t="s">
        <v>328</v>
      </c>
      <c r="B49" s="2" t="s">
        <v>316</v>
      </c>
      <c r="C49" s="2" t="s">
        <v>316</v>
      </c>
      <c r="D49" s="2" t="s">
        <v>329</v>
      </c>
      <c r="E49" s="2" t="s">
        <v>330</v>
      </c>
      <c r="F49" s="3" t="s">
        <v>331</v>
      </c>
    </row>
    <row r="51" spans="1:7" ht="22" customHeight="1" x14ac:dyDescent="0.35">
      <c r="A51" s="7" t="s">
        <v>332</v>
      </c>
      <c r="B51" s="6"/>
      <c r="C51" s="6"/>
      <c r="D51" s="6"/>
      <c r="E51" s="6"/>
      <c r="F51" s="6"/>
      <c r="G51" s="6"/>
    </row>
    <row r="52" spans="1:7" ht="30" customHeight="1" x14ac:dyDescent="0.35">
      <c r="A52" s="1" t="s">
        <v>333</v>
      </c>
      <c r="B52" s="1" t="s">
        <v>334</v>
      </c>
      <c r="C52" s="1" t="s">
        <v>335</v>
      </c>
      <c r="D52" s="1" t="s">
        <v>336</v>
      </c>
      <c r="E52" s="1" t="s">
        <v>290</v>
      </c>
      <c r="F52" s="1" t="s">
        <v>290</v>
      </c>
    </row>
    <row r="53" spans="1:7" ht="70" customHeight="1" x14ac:dyDescent="0.35">
      <c r="A53" s="2" t="s">
        <v>337</v>
      </c>
      <c r="B53" s="2" t="s">
        <v>338</v>
      </c>
      <c r="C53" s="2" t="s">
        <v>339</v>
      </c>
      <c r="D53" s="2" t="s">
        <v>340</v>
      </c>
      <c r="E53" s="2"/>
      <c r="F53" s="3"/>
    </row>
    <row r="54" spans="1:7" ht="70" customHeight="1" x14ac:dyDescent="0.35">
      <c r="A54" s="2" t="s">
        <v>341</v>
      </c>
      <c r="B54" s="2" t="s">
        <v>200</v>
      </c>
      <c r="C54" s="2" t="s">
        <v>342</v>
      </c>
      <c r="D54" s="2" t="s">
        <v>343</v>
      </c>
      <c r="E54" s="2"/>
      <c r="F54" s="3"/>
    </row>
    <row r="55" spans="1:7" ht="70" customHeight="1" x14ac:dyDescent="0.35">
      <c r="A55" s="2" t="s">
        <v>341</v>
      </c>
      <c r="B55" s="2" t="s">
        <v>201</v>
      </c>
      <c r="C55" s="2" t="s">
        <v>344</v>
      </c>
      <c r="D55" s="2" t="s">
        <v>345</v>
      </c>
      <c r="E55" s="2"/>
      <c r="F55" s="3"/>
    </row>
    <row r="56" spans="1:7" ht="70" customHeight="1" x14ac:dyDescent="0.35">
      <c r="A56" s="2" t="s">
        <v>341</v>
      </c>
      <c r="B56" s="2" t="s">
        <v>197</v>
      </c>
      <c r="C56" s="2" t="s">
        <v>346</v>
      </c>
      <c r="D56" s="2" t="s">
        <v>347</v>
      </c>
      <c r="E56" s="2"/>
      <c r="F56" s="3"/>
    </row>
    <row r="57" spans="1:7" ht="70" customHeight="1" x14ac:dyDescent="0.35">
      <c r="A57" s="2" t="s">
        <v>341</v>
      </c>
      <c r="B57" s="2" t="s">
        <v>198</v>
      </c>
      <c r="C57" s="2" t="s">
        <v>348</v>
      </c>
      <c r="D57" s="2" t="s">
        <v>349</v>
      </c>
      <c r="E57" s="2"/>
      <c r="F57" s="3"/>
    </row>
    <row r="58" spans="1:7" ht="70" customHeight="1" x14ac:dyDescent="0.35">
      <c r="A58" s="2" t="s">
        <v>350</v>
      </c>
      <c r="B58" s="2" t="s">
        <v>216</v>
      </c>
      <c r="C58" s="2" t="s">
        <v>351</v>
      </c>
      <c r="D58" s="2" t="s">
        <v>352</v>
      </c>
      <c r="E58" s="2"/>
      <c r="F58" s="3"/>
    </row>
    <row r="59" spans="1:7" ht="70" customHeight="1" x14ac:dyDescent="0.35">
      <c r="A59" s="2" t="s">
        <v>350</v>
      </c>
      <c r="B59" s="2" t="s">
        <v>219</v>
      </c>
      <c r="C59" s="2" t="s">
        <v>353</v>
      </c>
      <c r="D59" s="2" t="s">
        <v>354</v>
      </c>
      <c r="E59" s="2"/>
      <c r="F59" s="3"/>
    </row>
    <row r="60" spans="1:7" ht="70" customHeight="1" x14ac:dyDescent="0.35">
      <c r="A60" s="2" t="s">
        <v>355</v>
      </c>
      <c r="B60" s="2" t="s">
        <v>356</v>
      </c>
      <c r="C60" s="2" t="s">
        <v>357</v>
      </c>
      <c r="D60" s="2" t="s">
        <v>358</v>
      </c>
      <c r="E60" s="2"/>
      <c r="F60" s="3"/>
    </row>
    <row r="61" spans="1:7" ht="70" customHeight="1" x14ac:dyDescent="0.35">
      <c r="A61" s="2" t="s">
        <v>359</v>
      </c>
      <c r="B61" s="2" t="s">
        <v>225</v>
      </c>
      <c r="C61" s="2" t="s">
        <v>360</v>
      </c>
      <c r="D61" s="2" t="s">
        <v>361</v>
      </c>
      <c r="E61" s="2"/>
      <c r="F61" s="3"/>
    </row>
    <row r="63" spans="1:7" x14ac:dyDescent="0.35">
      <c r="A63" s="9" t="s">
        <v>362</v>
      </c>
      <c r="B63" s="6"/>
      <c r="C63" s="6"/>
      <c r="D63" s="6"/>
      <c r="E63" s="6"/>
      <c r="F63" s="6"/>
    </row>
    <row r="64" spans="1:7" ht="80" customHeight="1" x14ac:dyDescent="0.35">
      <c r="A64" s="8" t="s">
        <v>363</v>
      </c>
      <c r="B64" s="6"/>
      <c r="C64" s="6"/>
      <c r="D64" s="6"/>
      <c r="E64" s="6"/>
      <c r="F64" s="6"/>
    </row>
  </sheetData>
  <mergeCells count="11">
    <mergeCell ref="A64:F64"/>
    <mergeCell ref="A28:G28"/>
    <mergeCell ref="A36:G36"/>
    <mergeCell ref="A63:F63"/>
    <mergeCell ref="A44:G44"/>
    <mergeCell ref="A51:G51"/>
    <mergeCell ref="A1:G1"/>
    <mergeCell ref="A12:G12"/>
    <mergeCell ref="A4:G4"/>
    <mergeCell ref="A20:G20"/>
    <mergeCell ref="A2:G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Glossary</vt:lpstr>
      <vt:lpstr>Nomenclature</vt:lpstr>
      <vt:lpstr>InvCost($kW)</vt:lpstr>
      <vt:lpstr>Cost1</vt:lpstr>
      <vt:lpstr>Conversion</vt:lpstr>
      <vt:lpstr>retirement</vt:lpstr>
      <vt:lpstr>demand</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Arega Getaneh Abate</cp:lastModifiedBy>
  <dcterms:created xsi:type="dcterms:W3CDTF">2026-05-08T11:06:09Z</dcterms:created>
  <dcterms:modified xsi:type="dcterms:W3CDTF">2026-05-08T21:20:37Z</dcterms:modified>
</cp:coreProperties>
</file>