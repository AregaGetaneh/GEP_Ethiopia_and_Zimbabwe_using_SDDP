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510" yWindow="0" windowWidth="25780" windowHeight="13770" tabRatio="500" firstSheet="2" activeTab="4" autoFilterDateGrouping="1"/>
  </bookViews>
  <sheets>
    <sheet xmlns:r="http://schemas.openxmlformats.org/officeDocument/2006/relationships" name="Glossary" sheetId="1" state="visible" r:id="rId1"/>
    <sheet xmlns:r="http://schemas.openxmlformats.org/officeDocument/2006/relationships" name="Nomenclature" sheetId="2" state="visible" r:id="rId2"/>
    <sheet xmlns:r="http://schemas.openxmlformats.org/officeDocument/2006/relationships" name="InvCost($kW)" sheetId="3" state="visible" r:id="rId3"/>
    <sheet xmlns:r="http://schemas.openxmlformats.org/officeDocument/2006/relationships" name="Cost1" sheetId="4" state="visible" r:id="rId4"/>
    <sheet xmlns:r="http://schemas.openxmlformats.org/officeDocument/2006/relationships" name="Conversion" sheetId="5" state="visible" r:id="rId5"/>
    <sheet xmlns:r="http://schemas.openxmlformats.org/officeDocument/2006/relationships" name="retirement" sheetId="6" state="visible" r:id="rId6"/>
    <sheet xmlns:r="http://schemas.openxmlformats.org/officeDocument/2006/relationships" name="demand" sheetId="7" state="visible" r:id="rId7"/>
    <sheet xmlns:r="http://schemas.openxmlformats.org/officeDocument/2006/relationships" name="Assumptions" sheetId="8" state="visible" r:id="rId8"/>
    <sheet xmlns:r="http://schemas.openxmlformats.org/officeDocument/2006/relationships" name="References" sheetId="9" state="visible" r:id="rId9"/>
  </sheets>
  <definedNames/>
  <calcPr calcId="191029" fullCalcOnLoad="1" iterateDelta="0.0001"/>
</workbook>
</file>

<file path=xl/styles.xml><?xml version="1.0" encoding="utf-8"?>
<styleSheet xmlns="http://schemas.openxmlformats.org/spreadsheetml/2006/main">
  <numFmts count="1">
    <numFmt numFmtId="164" formatCode="0.00_ "/>
  </numFmts>
  <fonts count="14">
    <font>
      <name val="Calibri"/>
      <charset val="1"/>
      <family val="2"/>
      <color theme="1"/>
      <sz val="11"/>
    </font>
    <font>
      <name val="Times New Roman Regular"/>
      <charset val="134"/>
      <color rgb="FF000000"/>
      <sz val="11"/>
    </font>
    <font>
      <name val="Times New Roman"/>
      <charset val="134"/>
      <color rgb="FF000000"/>
      <sz val="11"/>
    </font>
    <font>
      <name val="Times New Roman"/>
      <charset val="134"/>
      <color theme="1"/>
      <sz val="11"/>
    </font>
    <font>
      <name val="Times New Roman"/>
      <charset val="134"/>
      <color theme="1"/>
      <sz val="10"/>
    </font>
    <font>
      <name val="Calibri"/>
      <charset val="1"/>
      <b val="1"/>
      <sz val="11"/>
    </font>
    <font>
      <name val="Arial"/>
      <charset val="1"/>
      <family val="2"/>
      <color rgb="FF000000"/>
      <sz val="10"/>
    </font>
    <font>
      <name val="Calibri"/>
      <b val="1"/>
      <sz val="14"/>
    </font>
    <font>
      <name val="Calibri"/>
      <i val="1"/>
      <color rgb="FF595959"/>
      <sz val="10"/>
    </font>
    <font>
      <name val="Calibri"/>
      <b val="1"/>
      <color rgb="FFFFFFFF"/>
      <sz val="11"/>
    </font>
    <font>
      <name val="Calibri"/>
      <b val="1"/>
      <color rgb="FF000000"/>
      <sz val="11"/>
    </font>
    <font>
      <name val="Calibri"/>
      <b val="1"/>
      <sz val="11"/>
    </font>
    <font>
      <name val="Calibri"/>
      <b val="1"/>
      <sz val="10"/>
    </font>
    <font>
      <name val="Calibri"/>
      <i val="1"/>
      <color rgb="FF595959"/>
      <sz val="10"/>
    </font>
  </fonts>
  <fills count="6">
    <fill>
      <patternFill/>
    </fill>
    <fill>
      <patternFill patternType="gray125"/>
    </fill>
    <fill>
      <patternFill patternType="solid">
        <fgColor theme="4" tint="0.5998718222602009"/>
        <bgColor rgb="FFC0C0C0"/>
      </patternFill>
    </fill>
    <fill>
      <patternFill patternType="solid">
        <fgColor rgb="FFD9E1F2"/>
        <bgColor rgb="FFB9CDE5"/>
      </patternFill>
    </fill>
    <fill>
      <patternFill patternType="solid">
        <fgColor rgb="FF305496"/>
      </patternFill>
    </fill>
    <fill>
      <patternFill patternType="solid">
        <fgColor rgb="FFD9E1F2"/>
      </patternFill>
    </fill>
  </fills>
  <borders count="5">
    <border>
      <left/>
      <right/>
      <top/>
      <bottom/>
      <diagonal/>
    </border>
    <border>
      <left style="thin">
        <color auto="1"/>
      </left>
      <right style="thin">
        <color auto="1"/>
      </right>
      <top style="thin">
        <color auto="1"/>
      </top>
      <bottom style="thin">
        <color auto="1"/>
      </bottom>
      <diagonal/>
    </border>
    <border>
      <left style="thin">
        <color rgb="FF999999"/>
      </left>
      <right style="thin">
        <color rgb="FF999999"/>
      </right>
      <top style="thin">
        <color rgb="FF999999"/>
      </top>
      <bottom style="thin">
        <color rgb="FF999999"/>
      </bottom>
      <diagonal/>
    </border>
    <border>
      <left style="thin">
        <color rgb="FF9E9E9E"/>
      </left>
      <right style="thin">
        <color rgb="FF9E9E9E"/>
      </right>
      <top style="thin">
        <color rgb="FF9E9E9E"/>
      </top>
      <bottom style="thin">
        <color rgb="FF9E9E9E"/>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0">
    <xf numFmtId="0" fontId="0" fillId="0" borderId="0" pivotButton="0" quotePrefix="0" xfId="0"/>
    <xf numFmtId="0" fontId="1" fillId="0" borderId="0" pivotButton="0" quotePrefix="0" xfId="0"/>
    <xf numFmtId="0" fontId="2" fillId="2" borderId="1" applyAlignment="1" pivotButton="0" quotePrefix="0" xfId="0">
      <alignment horizontal="left" wrapText="1"/>
    </xf>
    <xf numFmtId="0" fontId="2" fillId="0" borderId="1" applyAlignment="1" pivotButton="0" quotePrefix="0" xfId="0">
      <alignment horizontal="left" wrapText="1"/>
    </xf>
    <xf numFmtId="0" fontId="1" fillId="2" borderId="0" pivotButton="0" quotePrefix="0" xfId="0"/>
    <xf numFmtId="0" fontId="0" fillId="2" borderId="0" pivotButton="0" quotePrefix="0" xfId="0"/>
    <xf numFmtId="0" fontId="2" fillId="2" borderId="0" applyAlignment="1" pivotButton="0" quotePrefix="0" xfId="0">
      <alignment horizontal="left" wrapText="1"/>
    </xf>
    <xf numFmtId="0" fontId="3" fillId="2" borderId="0" pivotButton="0" quotePrefix="0" xfId="0"/>
    <xf numFmtId="0" fontId="3" fillId="0" borderId="1" applyAlignment="1" pivotButton="0" quotePrefix="0" xfId="0">
      <alignment horizontal="left" vertical="top" wrapText="1"/>
    </xf>
    <xf numFmtId="0" fontId="4" fillId="0" borderId="0" pivotButton="0" quotePrefix="0" xfId="0"/>
    <xf numFmtId="0" fontId="5" fillId="3" borderId="2" applyAlignment="1" pivotButton="0" quotePrefix="0" xfId="0">
      <alignment horizontal="center" vertical="center" wrapText="1"/>
    </xf>
    <xf numFmtId="0" fontId="0" fillId="0" borderId="2" pivotButton="0" quotePrefix="0" xfId="0"/>
    <xf numFmtId="2" fontId="0" fillId="0" borderId="3" applyAlignment="1" pivotButton="0" quotePrefix="0" xfId="0">
      <alignment horizontal="center" vertical="center" wrapText="1"/>
    </xf>
    <xf numFmtId="2" fontId="0" fillId="0" borderId="0" pivotButton="0" quotePrefix="0" xfId="0"/>
    <xf numFmtId="0" fontId="0" fillId="0" borderId="0" applyAlignment="1" pivotButton="0" quotePrefix="0" xfId="0">
      <alignment wrapText="1"/>
    </xf>
    <xf numFmtId="0" fontId="6" fillId="0" borderId="0" pivotButton="0" quotePrefix="0" xfId="0"/>
    <xf numFmtId="2" fontId="0" fillId="0" borderId="2" pivotButton="0" quotePrefix="0" xfId="0"/>
    <xf numFmtId="164" fontId="0" fillId="0" borderId="0" pivotButton="0" quotePrefix="0" xfId="0"/>
    <xf numFmtId="0" fontId="9" fillId="4" borderId="4" applyAlignment="1" pivotButton="0" quotePrefix="0" xfId="0">
      <alignment horizontal="center" vertical="center" wrapText="1"/>
    </xf>
    <xf numFmtId="0" fontId="10" fillId="5" borderId="4" applyAlignment="1" pivotButton="0" quotePrefix="0" xfId="0">
      <alignment horizontal="center" vertical="center"/>
    </xf>
    <xf numFmtId="0" fontId="11" fillId="0" borderId="4" applyAlignment="1" pivotButton="0" quotePrefix="0" xfId="0">
      <alignment horizontal="center" vertical="center"/>
    </xf>
    <xf numFmtId="0" fontId="0" fillId="0" borderId="4" applyAlignment="1" pivotButton="0" quotePrefix="0" xfId="0">
      <alignment vertical="top" wrapText="1"/>
    </xf>
    <xf numFmtId="0" fontId="8" fillId="0" borderId="4" applyAlignment="1" pivotButton="0" quotePrefix="0" xfId="0">
      <alignment vertical="top" wrapText="1"/>
    </xf>
    <xf numFmtId="0" fontId="11" fillId="0" borderId="0" pivotButton="0" quotePrefix="0" xfId="0"/>
    <xf numFmtId="0" fontId="12" fillId="0" borderId="0" pivotButton="0" quotePrefix="0" xfId="0"/>
    <xf numFmtId="0" fontId="0" fillId="0" borderId="0" pivotButton="0" quotePrefix="0" xfId="0"/>
    <xf numFmtId="0" fontId="13" fillId="0" borderId="0" applyAlignment="1" pivotButton="0" quotePrefix="0" xfId="0">
      <alignment vertical="top" wrapText="1"/>
    </xf>
    <xf numFmtId="0" fontId="8" fillId="0" borderId="0" applyAlignment="1" pivotButton="0" quotePrefix="0" xfId="0">
      <alignment vertical="top" wrapText="1"/>
    </xf>
    <xf numFmtId="0" fontId="11" fillId="0"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9E9E9E"/>
      <rgbColor rgb="FF9999FF"/>
      <rgbColor rgb="FF993366"/>
      <rgbColor rgb="FFFFFFCC"/>
      <rgbColor rgb="FFD9E1F2"/>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Unknown Author</author>
  </authors>
  <commentList>
    <comment ref="C2" authorId="0" shapeId="0">
      <text>
        <t>Hydro init = 1,050MW large hydro + 69.58MW small hydro (inferred from IPP breakdown). Large hydro and '232MW small hydro, bagasse and solar IPPs' from Zimbabwe National Energy Compact; solar+bagasse totals from Annex V (Operational Captive Power Projects).</t>
      </text>
    </comment>
    <comment ref="C3" authorId="0" shapeId="0">
      <text>
        <t>Coal init (MW) from Zimbabwe National Energy Compact: coal contributes 1,680MW of national installed capacity.</t>
      </text>
    </comment>
    <comment ref="D3" authorId="0" shapeId="0">
      <text>
        <t>Emission factors are standard planning defaults (kgCO2/MWh) and should be confirmed/updated with your chosen emissions accounting method.</t>
      </text>
    </comment>
    <comment ref="F3" authorId="0" shapeId="0">
      <text>
        <t>GenCost values use Energy Compact metric 'Average cost per kWh' thermal=0.017 and renewable=0.0032 (converted to $/MWh).</t>
      </text>
    </comment>
    <comment ref="C4" authorId="0" shapeId="0">
      <text>
        <t>Solar init (MW) is sum of Solar PV capacities listed in Annex V (Operational Captive Power Projects for own use as at 10/03/2025).</t>
      </text>
    </comment>
    <comment ref="C6" authorId="0" shapeId="0">
      <text>
        <t>Bioenergy init (MW) is sum of bagasse capacities listed in Annex V (Triangle 35MW, Hippo Valley 39MW, Green Fuel 18.3MW).</t>
      </text>
    </comment>
  </commentList>
</comments>
</file>

<file path=xl/comments/comment2.xml><?xml version="1.0" encoding="utf-8"?>
<comments xmlns="http://schemas.openxmlformats.org/spreadsheetml/2006/main">
  <authors>
    <author>Unknown Author</author>
  </authors>
  <commentList>
    <comment ref="B2" authorId="0" shapeId="0">
      <text>
        <t>Retirement schedule set to 0 due to lack of plant-specific retirement commitments in publicly available national planning documents used here. Update if you have official retirement/rehabilitation timelines.</t>
      </text>
    </comment>
  </commentList>
</comments>
</file>

<file path=xl/comments/comment3.xml><?xml version="1.0" encoding="utf-8"?>
<comments xmlns="http://schemas.openxmlformats.org/spreadsheetml/2006/main">
  <authors>
    <author>Unknown Author</author>
  </authors>
  <commentList>
    <comment ref="C2" authorId="0" shapeId="0">
      <text>
        <t>Base annual electricity produced (8,706 GWh) from Zimbabwe National Energy Compact metrics table (Pillar 1). Used here as 2025 base demand (MWh). Growth rates follow Ethiopia template and can be replaced with Zimbabwe-specific forecasts.</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B68"/>
  <sheetViews>
    <sheetView topLeftCell="A33" zoomScaleNormal="100" workbookViewId="0">
      <selection activeCell="N63" sqref="N63"/>
    </sheetView>
  </sheetViews>
  <sheetFormatPr baseColWidth="8" defaultColWidth="8.6328125" defaultRowHeight="14.5"/>
  <cols>
    <col width="14.36328125" customWidth="1" style="25" min="1" max="1"/>
    <col width="35.36328125" customWidth="1" style="25" min="2" max="2"/>
  </cols>
  <sheetData>
    <row r="1" ht="15" customHeight="1" s="25">
      <c r="A1" s="1" t="n"/>
    </row>
    <row r="2" ht="14.25" customHeight="1" s="25">
      <c r="A2" s="2" t="inlineStr">
        <is>
          <t>Acronym</t>
        </is>
      </c>
      <c r="B2" s="2" t="inlineStr">
        <is>
          <t>Definition</t>
        </is>
      </c>
    </row>
    <row r="3" ht="14.25" customHeight="1" s="25">
      <c r="A3" s="3" t="inlineStr">
        <is>
          <t>kV</t>
        </is>
      </c>
      <c r="B3" s="3" t="inlineStr">
        <is>
          <t>Kilovolt</t>
        </is>
      </c>
    </row>
    <row r="4" ht="14.25" customHeight="1" s="25">
      <c r="A4" s="3" t="inlineStr">
        <is>
          <t>kW</t>
        </is>
      </c>
      <c r="B4" s="3" t="inlineStr">
        <is>
          <t>Kilowatt</t>
        </is>
      </c>
    </row>
    <row r="5" ht="14.25" customHeight="1" s="25">
      <c r="A5" s="3" t="inlineStr">
        <is>
          <t>kWh</t>
        </is>
      </c>
      <c r="B5" s="3" t="inlineStr">
        <is>
          <t>Kilowatt hour</t>
        </is>
      </c>
    </row>
    <row r="6" ht="14.25" customHeight="1" s="25">
      <c r="A6" s="3" t="inlineStr">
        <is>
          <t>MW</t>
        </is>
      </c>
      <c r="B6" s="3" t="inlineStr">
        <is>
          <t>MegaWatt</t>
        </is>
      </c>
    </row>
    <row r="7" ht="14.25" customHeight="1" s="25">
      <c r="A7" s="3" t="inlineStr">
        <is>
          <t>MWh</t>
        </is>
      </c>
      <c r="B7" s="3" t="inlineStr">
        <is>
          <t>MegaWatt Hour</t>
        </is>
      </c>
    </row>
    <row r="8" ht="14.25" customHeight="1" s="25">
      <c r="A8" s="3" t="inlineStr">
        <is>
          <t>GW</t>
        </is>
      </c>
      <c r="B8" s="3" t="inlineStr">
        <is>
          <t>GigaWatt</t>
        </is>
      </c>
    </row>
    <row r="9" ht="14.25" customHeight="1" s="25">
      <c r="A9" s="3" t="inlineStr">
        <is>
          <t>GWh</t>
        </is>
      </c>
      <c r="B9" s="3" t="inlineStr">
        <is>
          <t>GigaWatt Hour</t>
        </is>
      </c>
    </row>
    <row r="10" ht="14.25" customHeight="1" s="25">
      <c r="A10" s="3" t="inlineStr">
        <is>
          <t>GJ</t>
        </is>
      </c>
      <c r="B10" s="3" t="inlineStr">
        <is>
          <t>Giga Joule</t>
        </is>
      </c>
    </row>
    <row r="11" ht="14.25" customHeight="1" s="25">
      <c r="A11" s="3" t="inlineStr">
        <is>
          <t>PJ</t>
        </is>
      </c>
      <c r="B11" s="3" t="inlineStr">
        <is>
          <t>Peta Joule</t>
        </is>
      </c>
    </row>
    <row r="12" ht="14.25" customHeight="1" s="25">
      <c r="A12" s="3" t="inlineStr">
        <is>
          <t>CCS</t>
        </is>
      </c>
      <c r="B12" s="3" t="inlineStr">
        <is>
          <t>Carbon Capture and Storage</t>
        </is>
      </c>
    </row>
    <row r="13" ht="14.25" customHeight="1" s="25">
      <c r="A13" s="3" t="inlineStr">
        <is>
          <t>CCGT</t>
        </is>
      </c>
      <c r="B13" s="3" t="inlineStr">
        <is>
          <t>Combined Cycle Gas Turbine</t>
        </is>
      </c>
    </row>
    <row r="14" ht="14.25" customHeight="1" s="25">
      <c r="A14" s="3" t="inlineStr">
        <is>
          <t>OCGT</t>
        </is>
      </c>
      <c r="B14" s="3" t="inlineStr">
        <is>
          <t>Open Cycle Gas Turbine</t>
        </is>
      </c>
    </row>
    <row r="15" ht="14.25" customHeight="1" s="25">
      <c r="A15" s="3" t="inlineStr">
        <is>
          <t>HHV</t>
        </is>
      </c>
      <c r="B15" s="3" t="inlineStr">
        <is>
          <t>Higher Heating Value</t>
        </is>
      </c>
    </row>
    <row r="16" ht="14.25" customHeight="1" s="25">
      <c r="A16" s="3" t="inlineStr">
        <is>
          <t>CO2e</t>
        </is>
      </c>
      <c r="B16" s="3" t="inlineStr">
        <is>
          <t xml:space="preserve">Carbon Dioxide Equivalent </t>
        </is>
      </c>
    </row>
    <row r="17" ht="14.25" customHeight="1" s="25">
      <c r="A17" s="3" t="inlineStr">
        <is>
          <t>kg</t>
        </is>
      </c>
      <c r="B17" s="3" t="inlineStr">
        <is>
          <t>Kilogram</t>
        </is>
      </c>
    </row>
    <row r="18" ht="14.25" customHeight="1" s="25">
      <c r="A18" s="3" t="inlineStr">
        <is>
          <t>CAPEX</t>
        </is>
      </c>
      <c r="B18" s="3" t="inlineStr">
        <is>
          <t>Capital Expenditure</t>
        </is>
      </c>
    </row>
    <row r="19" ht="14.25" customHeight="1" s="25">
      <c r="A19" s="3" t="inlineStr">
        <is>
          <t>OPEX</t>
        </is>
      </c>
      <c r="B19" s="3" t="inlineStr">
        <is>
          <t>Operational Expenditure</t>
        </is>
      </c>
    </row>
    <row r="20" ht="14.25" customHeight="1" s="25">
      <c r="A20" s="3" t="inlineStr">
        <is>
          <t>PC</t>
        </is>
      </c>
      <c r="B20" s="3" t="inlineStr">
        <is>
          <t>Pulverised Coal</t>
        </is>
      </c>
    </row>
    <row r="21" ht="14.25" customHeight="1" s="25">
      <c r="A21" s="3" t="inlineStr">
        <is>
          <t>Summer</t>
        </is>
      </c>
      <c r="B21" s="3" t="inlineStr">
        <is>
          <t>December to March</t>
        </is>
      </c>
    </row>
    <row r="22" ht="14.25" customHeight="1" s="25">
      <c r="A22" s="3" t="inlineStr">
        <is>
          <t>Not Summer</t>
        </is>
      </c>
      <c r="B22" s="3" t="inlineStr">
        <is>
          <t>April to November</t>
        </is>
      </c>
    </row>
    <row r="24" ht="15" customHeight="1" s="25">
      <c r="A24" s="4" t="inlineStr">
        <is>
          <t xml:space="preserve">Abbreviations </t>
        </is>
      </c>
      <c r="B24" s="5" t="n"/>
    </row>
    <row r="25" ht="14.25" customHeight="1" s="25">
      <c r="A25" s="3" t="inlineStr">
        <is>
          <t>ABS</t>
        </is>
      </c>
      <c r="B25" s="3" t="inlineStr">
        <is>
          <t>Australian Bureau of Statistics</t>
        </is>
      </c>
    </row>
    <row r="26" ht="14.25" customHeight="1" s="25">
      <c r="A26" s="3" t="inlineStr">
        <is>
          <t xml:space="preserve">AEMO </t>
        </is>
      </c>
      <c r="B26" s="3" t="inlineStr">
        <is>
          <t>Australian Energy Market Operator</t>
        </is>
      </c>
    </row>
    <row r="27" ht="14.25" customHeight="1" s="25">
      <c r="A27" s="3" t="inlineStr">
        <is>
          <t>APR</t>
        </is>
      </c>
      <c r="B27" s="3" t="inlineStr">
        <is>
          <t>Annual Planning Report</t>
        </is>
      </c>
    </row>
    <row r="28" ht="14.25" customHeight="1" s="25">
      <c r="A28" s="3" t="inlineStr">
        <is>
          <t>AQP</t>
        </is>
      </c>
      <c r="B28" s="3" t="inlineStr">
        <is>
          <t>Applications and Queuing Policy</t>
        </is>
      </c>
    </row>
    <row r="29" ht="14.25" customHeight="1" s="25">
      <c r="A29" s="3" t="inlineStr">
        <is>
          <t>BIS Oxford</t>
        </is>
      </c>
      <c r="B29" s="3" t="inlineStr">
        <is>
          <t>Bis Oxford Economics</t>
        </is>
      </c>
    </row>
    <row r="30" ht="14.25" customHeight="1" s="25">
      <c r="A30" s="3" t="inlineStr">
        <is>
          <t>BOM</t>
        </is>
      </c>
      <c r="B30" s="3" t="inlineStr">
        <is>
          <t>Bureau of Meteorology</t>
        </is>
      </c>
    </row>
    <row r="31" ht="14.25" customHeight="1" s="25">
      <c r="A31" s="3" t="inlineStr">
        <is>
          <t>CDD</t>
        </is>
      </c>
      <c r="B31" s="3" t="inlineStr">
        <is>
          <t>Cooling degree day</t>
        </is>
      </c>
    </row>
    <row r="32" ht="14.25" customHeight="1" s="25">
      <c r="A32" s="3" t="inlineStr">
        <is>
          <t>CRC</t>
        </is>
      </c>
      <c r="B32" s="3" t="inlineStr">
        <is>
          <t>Certified Reserve Capacity</t>
        </is>
      </c>
    </row>
    <row r="33" ht="28.5" customHeight="1" s="25">
      <c r="A33" s="3" t="inlineStr">
        <is>
          <t xml:space="preserve">CSIRO </t>
        </is>
      </c>
      <c r="B33" s="3" t="inlineStr">
        <is>
          <t>Commonwealth Scientific and Industrial Research Organisation</t>
        </is>
      </c>
    </row>
    <row r="34" ht="14.25" customHeight="1" s="25">
      <c r="A34" s="3" t="inlineStr">
        <is>
          <t>DER</t>
        </is>
      </c>
      <c r="B34" s="3" t="inlineStr">
        <is>
          <t>Distributed energy resources</t>
        </is>
      </c>
    </row>
    <row r="35" ht="14.25" customHeight="1" s="25">
      <c r="A35" s="3" t="inlineStr">
        <is>
          <t>DMO</t>
        </is>
      </c>
      <c r="B35" s="3" t="inlineStr">
        <is>
          <t>Distribution Market Operator</t>
        </is>
      </c>
    </row>
    <row r="36" ht="14.25" customHeight="1" s="25">
      <c r="A36" s="3" t="inlineStr">
        <is>
          <t>DSM</t>
        </is>
      </c>
      <c r="B36" s="3" t="inlineStr">
        <is>
          <t>Demand Side Management</t>
        </is>
      </c>
    </row>
    <row r="37" ht="14.25" customHeight="1" s="25">
      <c r="A37" s="3" t="inlineStr">
        <is>
          <t>DSO</t>
        </is>
      </c>
      <c r="B37" s="3" t="inlineStr">
        <is>
          <t>Distribution System Operator</t>
        </is>
      </c>
    </row>
    <row r="38" ht="14.25" customHeight="1" s="25">
      <c r="A38" s="3" t="inlineStr">
        <is>
          <t xml:space="preserve">DSP </t>
        </is>
      </c>
      <c r="B38" s="3" t="inlineStr">
        <is>
          <t>Demand Side Programme</t>
        </is>
      </c>
    </row>
    <row r="39" ht="14.25" customHeight="1" s="25">
      <c r="A39" s="3" t="inlineStr">
        <is>
          <t>EDDQ</t>
        </is>
      </c>
      <c r="B39" s="3" t="inlineStr">
        <is>
          <t>Expected DSM Dispatch Quantity</t>
        </is>
      </c>
    </row>
    <row r="40" ht="14.25" customHeight="1" s="25">
      <c r="A40" s="3" t="inlineStr">
        <is>
          <t>EOI</t>
        </is>
      </c>
      <c r="B40" s="3" t="inlineStr">
        <is>
          <t>Expressions of Interest</t>
        </is>
      </c>
    </row>
    <row r="41" ht="14.25" customHeight="1" s="25">
      <c r="A41" s="3" t="inlineStr">
        <is>
          <t>ERA</t>
        </is>
      </c>
      <c r="B41" s="3" t="inlineStr">
        <is>
          <t>Economic Regulation Authority</t>
        </is>
      </c>
    </row>
    <row r="42" ht="14.25" customHeight="1" s="25">
      <c r="A42" s="3" t="inlineStr">
        <is>
          <t>ESOO</t>
        </is>
      </c>
      <c r="B42" s="3" t="inlineStr">
        <is>
          <t>Electricity Statement of Opportunities</t>
        </is>
      </c>
    </row>
    <row r="43" ht="14.25" customHeight="1" s="25">
      <c r="A43" s="3" t="inlineStr">
        <is>
          <t>ESS</t>
        </is>
      </c>
      <c r="B43" s="3" t="inlineStr">
        <is>
          <t>Essential System Service</t>
        </is>
      </c>
    </row>
    <row r="44" ht="14.25" customHeight="1" s="25">
      <c r="A44" s="3" t="inlineStr">
        <is>
          <t>EUE</t>
        </is>
      </c>
      <c r="B44" s="3" t="inlineStr">
        <is>
          <t>Expected unserved energy</t>
        </is>
      </c>
    </row>
    <row r="45" ht="14.25" customHeight="1" s="25">
      <c r="A45" s="3" t="inlineStr">
        <is>
          <t>EV</t>
        </is>
      </c>
      <c r="B45" s="3" t="inlineStr">
        <is>
          <t>Electric vehicle</t>
        </is>
      </c>
    </row>
    <row r="46" ht="14.25" customHeight="1" s="25">
      <c r="A46" s="3" t="inlineStr">
        <is>
          <t>GEM</t>
        </is>
      </c>
      <c r="B46" s="3" t="inlineStr">
        <is>
          <t>Green Energy Markets</t>
        </is>
      </c>
    </row>
    <row r="47" ht="14.25" customHeight="1" s="25">
      <c r="A47" s="3" t="inlineStr">
        <is>
          <t>GIA</t>
        </is>
      </c>
      <c r="B47" s="3" t="inlineStr">
        <is>
          <t>Generator Interim Access</t>
        </is>
      </c>
    </row>
    <row r="48" ht="14.25" customHeight="1" s="25">
      <c r="A48" s="3" t="inlineStr">
        <is>
          <t>GSP</t>
        </is>
      </c>
      <c r="B48" s="3" t="inlineStr">
        <is>
          <t>Gross state product</t>
        </is>
      </c>
    </row>
    <row r="49" ht="14.25" customHeight="1" s="25">
      <c r="A49" s="3" t="inlineStr">
        <is>
          <t>HDD</t>
        </is>
      </c>
      <c r="B49" s="3" t="inlineStr">
        <is>
          <t>Heating degree day</t>
        </is>
      </c>
    </row>
    <row r="50" ht="14.25" customHeight="1" s="25">
      <c r="A50" s="3" t="inlineStr">
        <is>
          <t>INSG</t>
        </is>
      </c>
      <c r="B50" s="3" t="inlineStr">
        <is>
          <t>Intermittent Non-Scheduled Generator</t>
        </is>
      </c>
    </row>
    <row r="51" ht="24.75" customHeight="1" s="25">
      <c r="A51" s="3" t="inlineStr">
        <is>
          <t>IRCR</t>
        </is>
      </c>
      <c r="B51" s="3" t="inlineStr">
        <is>
          <t>Individual Reserve Capacity Requirement</t>
        </is>
      </c>
    </row>
    <row r="52" ht="14.25" customHeight="1" s="25">
      <c r="A52" s="3" t="inlineStr">
        <is>
          <t>LDC</t>
        </is>
      </c>
      <c r="B52" s="3" t="inlineStr">
        <is>
          <t>Load duration curve</t>
        </is>
      </c>
    </row>
    <row r="53" ht="14.25" customHeight="1" s="25">
      <c r="A53" s="3" t="inlineStr">
        <is>
          <t>LFAS</t>
        </is>
      </c>
      <c r="B53" s="3" t="inlineStr">
        <is>
          <t>Load Following Ancillary Service</t>
        </is>
      </c>
    </row>
    <row r="54" ht="14.25" customHeight="1" s="25">
      <c r="A54" s="3" t="inlineStr">
        <is>
          <t>NEM</t>
        </is>
      </c>
      <c r="B54" s="3" t="inlineStr">
        <is>
          <t>National Electricity Market</t>
        </is>
      </c>
    </row>
    <row r="55" ht="14.25" customHeight="1" s="25">
      <c r="A55" s="3" t="inlineStr">
        <is>
          <t>NCS</t>
        </is>
      </c>
      <c r="B55" s="3" t="inlineStr">
        <is>
          <t>Network Control Services</t>
        </is>
      </c>
    </row>
    <row r="56" ht="14.25" customHeight="1" s="25">
      <c r="A56" s="3" t="inlineStr">
        <is>
          <t>NSG</t>
        </is>
      </c>
      <c r="B56" s="3" t="inlineStr">
        <is>
          <t>Non-Scheduled Generator</t>
        </is>
      </c>
    </row>
    <row r="57" ht="28.5" customHeight="1" s="25">
      <c r="A57" s="3" t="inlineStr">
        <is>
          <t>PASA</t>
        </is>
      </c>
      <c r="B57" s="3" t="inlineStr">
        <is>
          <t>Projected Assessment of System Adequacy</t>
        </is>
      </c>
    </row>
    <row r="58" ht="14.25" customHeight="1" s="25">
      <c r="A58" s="3" t="inlineStr">
        <is>
          <t xml:space="preserve">POE </t>
        </is>
      </c>
      <c r="B58" s="3" t="inlineStr">
        <is>
          <t>Probability of exceedance</t>
        </is>
      </c>
    </row>
    <row r="59" ht="14.25" customHeight="1" s="25">
      <c r="A59" s="3" t="inlineStr">
        <is>
          <t>PV</t>
        </is>
      </c>
      <c r="B59" s="3" t="inlineStr">
        <is>
          <t>Photovoltaic</t>
        </is>
      </c>
    </row>
    <row r="60" ht="14.25" customHeight="1" s="25">
      <c r="A60" s="3" t="inlineStr">
        <is>
          <t>RBP</t>
        </is>
      </c>
      <c r="B60" s="3" t="inlineStr">
        <is>
          <t>Robinson Bowmaker Paul</t>
        </is>
      </c>
    </row>
    <row r="61" ht="14.25" customHeight="1" s="25">
      <c r="A61" s="3" t="inlineStr">
        <is>
          <t>RCM</t>
        </is>
      </c>
      <c r="B61" s="3" t="inlineStr">
        <is>
          <t>Reserve Capacity Mechanism</t>
        </is>
      </c>
    </row>
    <row r="62" ht="14.25" customHeight="1" s="25">
      <c r="A62" s="3" t="inlineStr">
        <is>
          <t>RCP</t>
        </is>
      </c>
      <c r="B62" s="3" t="inlineStr">
        <is>
          <t>Reserve Capacity Price</t>
        </is>
      </c>
    </row>
    <row r="63" ht="14.25" customHeight="1" s="25">
      <c r="A63" s="3" t="inlineStr">
        <is>
          <t>RCR</t>
        </is>
      </c>
      <c r="B63" s="3" t="inlineStr">
        <is>
          <t>Reserve Capacity Requirement</t>
        </is>
      </c>
    </row>
    <row r="64" ht="14.25" customHeight="1" s="25">
      <c r="A64" s="3" t="inlineStr">
        <is>
          <t>RCT</t>
        </is>
      </c>
      <c r="B64" s="3" t="inlineStr">
        <is>
          <t>Reserve Capacity Target</t>
        </is>
      </c>
    </row>
    <row r="65" ht="14.25" customHeight="1" s="25">
      <c r="A65" s="3" t="inlineStr">
        <is>
          <t>SG</t>
        </is>
      </c>
      <c r="B65" s="3" t="inlineStr">
        <is>
          <t>Scheduled Generator</t>
        </is>
      </c>
    </row>
    <row r="66" ht="14.25" customHeight="1" s="25">
      <c r="A66" s="3" t="inlineStr">
        <is>
          <t>SWIS</t>
        </is>
      </c>
      <c r="B66" s="3" t="inlineStr">
        <is>
          <t>South West interconnected system</t>
        </is>
      </c>
    </row>
    <row r="67" ht="14.25" customHeight="1" s="25">
      <c r="A67" s="3" t="inlineStr">
        <is>
          <t>TSOG</t>
        </is>
      </c>
      <c r="B67" s="3" t="inlineStr">
        <is>
          <t>Total Sent Out Generation</t>
        </is>
      </c>
    </row>
    <row r="68" ht="14.25" customHeight="1" s="25">
      <c r="A68" s="3" t="inlineStr">
        <is>
          <t>WEM</t>
        </is>
      </c>
      <c r="B68" s="3" t="inlineStr">
        <is>
          <t>Wholesale Electricity Market</t>
        </is>
      </c>
    </row>
  </sheetData>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B1001"/>
  <sheetViews>
    <sheetView zoomScaleNormal="100" workbookViewId="0">
      <selection activeCell="AD18" sqref="AD18"/>
    </sheetView>
  </sheetViews>
  <sheetFormatPr baseColWidth="8" defaultColWidth="8.6328125" defaultRowHeight="14.5"/>
  <cols>
    <col width="45.453125" customWidth="1" style="25" min="2" max="2"/>
  </cols>
  <sheetData>
    <row r="1" ht="14.25" customHeight="1" s="25">
      <c r="A1" s="6" t="inlineStr">
        <is>
          <t>Indices</t>
        </is>
      </c>
      <c r="B1" s="6" t="n"/>
    </row>
    <row r="2" ht="14.25" customHeight="1" s="25">
      <c r="A2" s="3" t="inlineStr">
        <is>
          <t>y, Y</t>
        </is>
      </c>
      <c r="B2" s="3" t="inlineStr">
        <is>
          <t>Years</t>
        </is>
      </c>
    </row>
    <row r="3" ht="14.25" customHeight="1" s="25">
      <c r="A3" s="3" t="inlineStr">
        <is>
          <t>t, T</t>
        </is>
      </c>
      <c r="B3" s="3" t="inlineStr">
        <is>
          <t>Time periods in each year</t>
        </is>
      </c>
    </row>
    <row r="4" ht="14.25" customHeight="1" s="25">
      <c r="A4" s="3" t="inlineStr">
        <is>
          <t>s, S</t>
        </is>
      </c>
      <c r="B4" s="3" t="inlineStr">
        <is>
          <t>State</t>
        </is>
      </c>
    </row>
    <row r="5" ht="14.25" customHeight="1" s="25">
      <c r="A5" s="3" t="inlineStr">
        <is>
          <t>i, I</t>
        </is>
      </c>
      <c r="B5" s="3" t="inlineStr">
        <is>
          <t>Generation types</t>
        </is>
      </c>
    </row>
    <row r="6" ht="14.25" customHeight="1" s="25">
      <c r="A6" s="3" t="inlineStr">
        <is>
          <t>ir, Ir</t>
        </is>
      </c>
      <c r="B6" s="3" t="inlineStr">
        <is>
          <t>Renewable generation types (subset of i)</t>
        </is>
      </c>
    </row>
    <row r="7" ht="14.25" customHeight="1" s="25">
      <c r="A7" s="3" t="inlineStr">
        <is>
          <t>e, E</t>
        </is>
      </c>
      <c r="B7" s="3" t="inlineStr">
        <is>
          <t>Emission gases</t>
        </is>
      </c>
    </row>
    <row r="8" ht="14.25" customHeight="1" s="25">
      <c r="A8" s="7" t="inlineStr">
        <is>
          <t xml:space="preserve">Decision Variables </t>
        </is>
      </c>
      <c r="B8" s="7" t="n"/>
    </row>
    <row r="9" ht="14.25" customHeight="1" s="25">
      <c r="A9" s="3" t="inlineStr">
        <is>
          <t>GA</t>
        </is>
      </c>
      <c r="B9" s="3" t="inlineStr">
        <is>
          <t>Generation amount (MWh)</t>
        </is>
      </c>
    </row>
    <row r="10" ht="14.25" customHeight="1" s="25">
      <c r="A10" s="3" t="inlineStr">
        <is>
          <t>IA</t>
        </is>
      </c>
      <c r="B10" s="3" t="inlineStr">
        <is>
          <t>Investment amount (MW)</t>
        </is>
      </c>
    </row>
    <row r="11" ht="14.25" customHeight="1" s="25">
      <c r="A11" s="3" t="inlineStr">
        <is>
          <t>TF</t>
        </is>
      </c>
      <c r="B11" s="3" t="inlineStr">
        <is>
          <t>Transmission flow (MWh)</t>
        </is>
      </c>
    </row>
    <row r="12" ht="14.25" customHeight="1" s="25">
      <c r="A12" s="7" t="inlineStr">
        <is>
          <t>Parameters</t>
        </is>
      </c>
      <c r="B12" s="7" t="n"/>
    </row>
    <row r="13" ht="14.25" customHeight="1" s="25">
      <c r="A13" s="3" t="inlineStr">
        <is>
          <t>r</t>
        </is>
      </c>
      <c r="B13" s="3" t="inlineStr">
        <is>
          <t>Interest rate</t>
        </is>
      </c>
    </row>
    <row r="14" ht="14.25" customHeight="1" s="25">
      <c r="A14" s="3" t="inlineStr">
        <is>
          <t>GenCost</t>
        </is>
      </c>
      <c r="B14" s="3" t="inlineStr">
        <is>
          <t>Generation variable cost ($/MWh)</t>
        </is>
      </c>
    </row>
    <row r="15" ht="14.25" customHeight="1" s="25">
      <c r="A15" s="3" t="inlineStr">
        <is>
          <t>InvCost</t>
        </is>
      </c>
      <c r="B15" s="3" t="inlineStr">
        <is>
          <t>Investment cost ($/MW)</t>
        </is>
      </c>
    </row>
    <row r="16" ht="14.25" customHeight="1" s="25">
      <c r="A16" s="3" t="inlineStr">
        <is>
          <t>Init</t>
        </is>
      </c>
      <c r="B16" s="3" t="inlineStr">
        <is>
          <t>Initial capacity (MW)</t>
        </is>
      </c>
    </row>
    <row r="17" ht="28.5" customHeight="1" s="25">
      <c r="A17" s="3" t="inlineStr">
        <is>
          <t>Opex</t>
        </is>
      </c>
      <c r="B17" s="3" t="inlineStr">
        <is>
          <t>Fixed operation and maintenance cost for existing generator</t>
        </is>
      </c>
    </row>
    <row r="18" ht="28.5" customHeight="1" s="25">
      <c r="A18" s="3" t="inlineStr">
        <is>
          <t>Opnew</t>
        </is>
      </c>
      <c r="B18" s="3" t="inlineStr">
        <is>
          <t>Fixed operation and maintenance cost for new generator</t>
        </is>
      </c>
    </row>
    <row r="19" ht="14.25" customHeight="1" s="25">
      <c r="A19" s="8" t="inlineStr">
        <is>
          <t>phi</t>
        </is>
      </c>
      <c r="B19" s="3" t="inlineStr">
        <is>
          <t>Demand</t>
        </is>
      </c>
    </row>
    <row r="20" ht="14.25" customHeight="1" s="25">
      <c r="A20" s="3" t="inlineStr">
        <is>
          <t>d</t>
        </is>
      </c>
      <c r="B20" s="3" t="inlineStr">
        <is>
          <t>Outage rate</t>
        </is>
      </c>
    </row>
    <row r="21" ht="14.25" customHeight="1" s="25">
      <c r="A21" s="3" t="inlineStr">
        <is>
          <t>h</t>
        </is>
      </c>
      <c r="B21" s="3" t="inlineStr">
        <is>
          <t>Hours</t>
        </is>
      </c>
    </row>
    <row r="22" ht="14.25" customHeight="1" s="25">
      <c r="A22" s="3" t="inlineStr">
        <is>
          <t>cf</t>
        </is>
      </c>
      <c r="B22" s="3" t="inlineStr">
        <is>
          <t>Capacity factor</t>
        </is>
      </c>
    </row>
    <row r="23" ht="14.25" customHeight="1" s="25">
      <c r="A23" s="3" t="inlineStr">
        <is>
          <t>peak</t>
        </is>
      </c>
      <c r="B23" s="3" t="inlineStr">
        <is>
          <t>Peak load</t>
        </is>
      </c>
    </row>
    <row r="24" ht="14.25" customHeight="1" s="25">
      <c r="A24" s="3" t="inlineStr">
        <is>
          <t>rm</t>
        </is>
      </c>
      <c r="B24" s="3" t="inlineStr">
        <is>
          <t>Reserve margin</t>
        </is>
      </c>
    </row>
    <row r="25" ht="14.25" customHeight="1" s="25">
      <c r="A25" s="3" t="inlineStr">
        <is>
          <t>RET</t>
        </is>
      </c>
      <c r="B25" s="3" t="inlineStr">
        <is>
          <t>Renewable energy target (MWh)</t>
        </is>
      </c>
    </row>
    <row r="26" ht="14.25" customHeight="1" s="25">
      <c r="A26" s="3" t="inlineStr">
        <is>
          <t>EM</t>
        </is>
      </c>
      <c r="B26" s="3" t="inlineStr">
        <is>
          <t>Amount of emission gas</t>
        </is>
      </c>
    </row>
    <row r="27" ht="14.25" customHeight="1" s="25">
      <c r="A27" s="3" t="inlineStr">
        <is>
          <t>LEM</t>
        </is>
      </c>
      <c r="B27" s="3" t="inlineStr">
        <is>
          <t>Limit of emission gas (kg)</t>
        </is>
      </c>
    </row>
    <row r="28" ht="14.25" customHeight="1" s="25">
      <c r="A28" s="3" t="inlineStr">
        <is>
          <t>TL</t>
        </is>
      </c>
      <c r="B28" s="3" t="inlineStr">
        <is>
          <t>Transmission limit</t>
        </is>
      </c>
    </row>
    <row r="29" ht="14.25" customHeight="1" s="25">
      <c r="A29" s="3" t="inlineStr">
        <is>
          <t>CL</t>
        </is>
      </c>
      <c r="B29" s="3" t="inlineStr">
        <is>
          <t>Construction limit</t>
        </is>
      </c>
    </row>
    <row r="30" ht="14.25" customHeight="1" s="25">
      <c r="A30" s="9" t="n"/>
      <c r="B30" s="9" t="n"/>
    </row>
    <row r="31" ht="14.25" customHeight="1" s="25">
      <c r="A31" s="9" t="n"/>
      <c r="B31" s="9" t="n"/>
    </row>
    <row r="32" ht="14.25" customHeight="1" s="25">
      <c r="A32" s="9" t="n"/>
      <c r="B32" s="9" t="n"/>
    </row>
    <row r="33" ht="14.25" customHeight="1" s="25">
      <c r="A33" s="9" t="n"/>
      <c r="B33" s="9" t="n"/>
    </row>
    <row r="34" ht="14.25" customHeight="1" s="25">
      <c r="A34" s="9" t="n"/>
      <c r="B34" s="9" t="n"/>
    </row>
    <row r="35" ht="14.25" customHeight="1" s="25">
      <c r="A35" s="9" t="n"/>
      <c r="B35" s="9" t="n"/>
    </row>
    <row r="36" ht="14.25" customHeight="1" s="25">
      <c r="A36" s="9" t="n"/>
      <c r="B36" s="9" t="n"/>
    </row>
    <row r="37" ht="14.25" customHeight="1" s="25">
      <c r="A37" s="9" t="n"/>
      <c r="B37" s="9" t="n"/>
    </row>
    <row r="38" ht="14.25" customHeight="1" s="25">
      <c r="A38" s="9" t="n"/>
      <c r="B38" s="9" t="n"/>
    </row>
    <row r="39" ht="14.25" customHeight="1" s="25">
      <c r="A39" s="9" t="n"/>
      <c r="B39" s="9" t="n"/>
    </row>
    <row r="40" ht="14.25" customHeight="1" s="25">
      <c r="A40" s="9" t="n"/>
      <c r="B40" s="9" t="n"/>
    </row>
    <row r="41" ht="14.25" customHeight="1" s="25">
      <c r="A41" s="9" t="n"/>
      <c r="B41" s="9" t="n"/>
    </row>
    <row r="42" ht="14.25" customHeight="1" s="25">
      <c r="A42" s="9" t="n"/>
      <c r="B42" s="9" t="n"/>
    </row>
    <row r="43" ht="14.25" customHeight="1" s="25">
      <c r="A43" s="9" t="n"/>
      <c r="B43" s="9" t="n"/>
    </row>
    <row r="44" ht="14.25" customHeight="1" s="25">
      <c r="A44" s="9" t="n"/>
      <c r="B44" s="9" t="n"/>
    </row>
    <row r="45" ht="14.25" customHeight="1" s="25">
      <c r="A45" s="9" t="n"/>
      <c r="B45" s="9" t="n"/>
    </row>
    <row r="46" ht="14.25" customHeight="1" s="25">
      <c r="A46" s="9" t="n"/>
      <c r="B46" s="9" t="n"/>
    </row>
    <row r="47" ht="14.25" customHeight="1" s="25">
      <c r="A47" s="9" t="n"/>
      <c r="B47" s="9" t="n"/>
    </row>
    <row r="48" ht="14.25" customHeight="1" s="25">
      <c r="A48" s="9" t="n"/>
      <c r="B48" s="9" t="n"/>
    </row>
    <row r="49" ht="14.25" customHeight="1" s="25">
      <c r="A49" s="9" t="n"/>
      <c r="B49" s="9" t="n"/>
    </row>
    <row r="50" ht="14.25" customHeight="1" s="25">
      <c r="A50" s="9" t="n"/>
      <c r="B50" s="9" t="n"/>
    </row>
    <row r="51" ht="14.25" customHeight="1" s="25">
      <c r="A51" s="9" t="n"/>
      <c r="B51" s="9" t="n"/>
    </row>
    <row r="52" ht="14.25" customHeight="1" s="25">
      <c r="A52" s="9" t="n"/>
      <c r="B52" s="9" t="n"/>
    </row>
    <row r="53" ht="14.25" customHeight="1" s="25">
      <c r="A53" s="9" t="n"/>
      <c r="B53" s="9" t="n"/>
    </row>
    <row r="54" ht="14.25" customHeight="1" s="25">
      <c r="A54" s="9" t="n"/>
      <c r="B54" s="9" t="n"/>
    </row>
    <row r="55" ht="14.25" customHeight="1" s="25">
      <c r="A55" s="9" t="n"/>
      <c r="B55" s="9" t="n"/>
    </row>
    <row r="56" ht="14.25" customHeight="1" s="25">
      <c r="A56" s="9" t="n"/>
      <c r="B56" s="9" t="n"/>
    </row>
    <row r="57" ht="14.25" customHeight="1" s="25">
      <c r="A57" s="9" t="n"/>
      <c r="B57" s="9" t="n"/>
    </row>
    <row r="58" ht="14.25" customHeight="1" s="25">
      <c r="A58" s="9" t="n"/>
      <c r="B58" s="9" t="n"/>
    </row>
    <row r="59" ht="14.25" customHeight="1" s="25">
      <c r="A59" s="9" t="n"/>
      <c r="B59" s="9" t="n"/>
    </row>
    <row r="60" ht="14.25" customHeight="1" s="25">
      <c r="A60" s="9" t="n"/>
      <c r="B60" s="9" t="n"/>
    </row>
    <row r="61" ht="14.25" customHeight="1" s="25">
      <c r="A61" s="9" t="n"/>
      <c r="B61" s="9" t="n"/>
    </row>
    <row r="62" ht="14.25" customHeight="1" s="25">
      <c r="A62" s="9" t="n"/>
      <c r="B62" s="9" t="n"/>
    </row>
    <row r="63" ht="14.25" customHeight="1" s="25">
      <c r="A63" s="9" t="n"/>
      <c r="B63" s="9" t="n"/>
    </row>
    <row r="64" ht="14.25" customHeight="1" s="25">
      <c r="A64" s="9" t="n"/>
      <c r="B64" s="9" t="n"/>
    </row>
    <row r="65" ht="14.25" customHeight="1" s="25">
      <c r="A65" s="9" t="n"/>
      <c r="B65" s="9" t="n"/>
    </row>
    <row r="66" ht="14.25" customHeight="1" s="25">
      <c r="A66" s="9" t="n"/>
      <c r="B66" s="9" t="n"/>
    </row>
    <row r="67" ht="14.25" customHeight="1" s="25">
      <c r="A67" s="9" t="n"/>
      <c r="B67" s="9" t="n"/>
    </row>
    <row r="68" ht="14.25" customHeight="1" s="25">
      <c r="A68" s="9" t="n"/>
      <c r="B68" s="9" t="n"/>
    </row>
    <row r="69" ht="14.25" customHeight="1" s="25">
      <c r="A69" s="9" t="n"/>
      <c r="B69" s="9" t="n"/>
    </row>
    <row r="70" ht="14.25" customHeight="1" s="25">
      <c r="A70" s="9" t="n"/>
      <c r="B70" s="9" t="n"/>
    </row>
    <row r="71" ht="14.25" customHeight="1" s="25">
      <c r="A71" s="9" t="n"/>
      <c r="B71" s="9" t="n"/>
    </row>
    <row r="72" ht="14.25" customHeight="1" s="25">
      <c r="A72" s="9" t="n"/>
      <c r="B72" s="9" t="n"/>
    </row>
    <row r="73" ht="14.25" customHeight="1" s="25">
      <c r="A73" s="9" t="n"/>
      <c r="B73" s="9" t="n"/>
    </row>
    <row r="74" ht="14.25" customHeight="1" s="25">
      <c r="A74" s="9" t="n"/>
      <c r="B74" s="9" t="n"/>
    </row>
    <row r="75" ht="14.25" customHeight="1" s="25">
      <c r="A75" s="9" t="n"/>
      <c r="B75" s="9" t="n"/>
    </row>
    <row r="76" ht="14.25" customHeight="1" s="25">
      <c r="A76" s="9" t="n"/>
      <c r="B76" s="9" t="n"/>
    </row>
    <row r="77" ht="14.25" customHeight="1" s="25">
      <c r="A77" s="9" t="n"/>
      <c r="B77" s="9" t="n"/>
    </row>
    <row r="78" ht="14.25" customHeight="1" s="25">
      <c r="A78" s="9" t="n"/>
      <c r="B78" s="9" t="n"/>
    </row>
    <row r="79" ht="14.25" customHeight="1" s="25">
      <c r="A79" s="9" t="n"/>
      <c r="B79" s="9" t="n"/>
    </row>
    <row r="80" ht="14.25" customHeight="1" s="25">
      <c r="A80" s="9" t="n"/>
      <c r="B80" s="9" t="n"/>
    </row>
    <row r="81" ht="14.25" customHeight="1" s="25">
      <c r="A81" s="9" t="n"/>
      <c r="B81" s="9" t="n"/>
    </row>
    <row r="82" ht="14.25" customHeight="1" s="25">
      <c r="A82" s="9" t="n"/>
      <c r="B82" s="9" t="n"/>
    </row>
    <row r="83" ht="14.25" customHeight="1" s="25">
      <c r="A83" s="9" t="n"/>
      <c r="B83" s="9" t="n"/>
    </row>
    <row r="84" ht="14.25" customHeight="1" s="25">
      <c r="A84" s="9" t="n"/>
      <c r="B84" s="9" t="n"/>
    </row>
    <row r="85" ht="14.25" customHeight="1" s="25">
      <c r="A85" s="9" t="n"/>
      <c r="B85" s="9" t="n"/>
    </row>
    <row r="86" ht="14.25" customHeight="1" s="25">
      <c r="A86" s="9" t="n"/>
      <c r="B86" s="9" t="n"/>
    </row>
    <row r="87" ht="14.25" customHeight="1" s="25">
      <c r="A87" s="9" t="n"/>
      <c r="B87" s="9" t="n"/>
    </row>
    <row r="88" ht="14.25" customHeight="1" s="25">
      <c r="A88" s="9" t="n"/>
      <c r="B88" s="9" t="n"/>
    </row>
    <row r="89" ht="14.25" customHeight="1" s="25">
      <c r="A89" s="9" t="n"/>
      <c r="B89" s="9" t="n"/>
    </row>
    <row r="90" ht="14.25" customHeight="1" s="25">
      <c r="A90" s="9" t="n"/>
      <c r="B90" s="9" t="n"/>
    </row>
    <row r="91" ht="14.25" customHeight="1" s="25">
      <c r="A91" s="9" t="n"/>
      <c r="B91" s="9" t="n"/>
    </row>
    <row r="92" ht="14.25" customHeight="1" s="25">
      <c r="A92" s="9" t="n"/>
      <c r="B92" s="9" t="n"/>
    </row>
    <row r="93" ht="14.25" customHeight="1" s="25">
      <c r="A93" s="9" t="n"/>
      <c r="B93" s="9" t="n"/>
    </row>
    <row r="94" ht="14.25" customHeight="1" s="25">
      <c r="A94" s="9" t="n"/>
      <c r="B94" s="9" t="n"/>
    </row>
    <row r="95" ht="14.25" customHeight="1" s="25">
      <c r="A95" s="9" t="n"/>
      <c r="B95" s="9" t="n"/>
    </row>
    <row r="96" ht="14.25" customHeight="1" s="25">
      <c r="A96" s="9" t="n"/>
      <c r="B96" s="9" t="n"/>
    </row>
    <row r="97" ht="14.25" customHeight="1" s="25">
      <c r="A97" s="9" t="n"/>
      <c r="B97" s="9" t="n"/>
    </row>
    <row r="98" ht="14.25" customHeight="1" s="25">
      <c r="A98" s="9" t="n"/>
      <c r="B98" s="9" t="n"/>
    </row>
    <row r="99" ht="14.25" customHeight="1" s="25">
      <c r="A99" s="9" t="n"/>
      <c r="B99" s="9" t="n"/>
    </row>
    <row r="100" ht="14.25" customHeight="1" s="25">
      <c r="A100" s="9" t="n"/>
      <c r="B100" s="9" t="n"/>
    </row>
    <row r="101" ht="14.25" customHeight="1" s="25">
      <c r="A101" s="9" t="n"/>
      <c r="B101" s="9" t="n"/>
    </row>
    <row r="102" ht="14.25" customHeight="1" s="25">
      <c r="A102" s="9" t="n"/>
      <c r="B102" s="9" t="n"/>
    </row>
    <row r="103" ht="14.25" customHeight="1" s="25">
      <c r="A103" s="9" t="n"/>
      <c r="B103" s="9" t="n"/>
    </row>
    <row r="104" ht="14.25" customHeight="1" s="25">
      <c r="A104" s="9" t="n"/>
      <c r="B104" s="9" t="n"/>
    </row>
    <row r="105" ht="14.25" customHeight="1" s="25">
      <c r="A105" s="9" t="n"/>
      <c r="B105" s="9" t="n"/>
    </row>
    <row r="106" ht="14.25" customHeight="1" s="25">
      <c r="A106" s="9" t="n"/>
      <c r="B106" s="9" t="n"/>
    </row>
    <row r="107" ht="14.25" customHeight="1" s="25">
      <c r="A107" s="9" t="n"/>
      <c r="B107" s="9" t="n"/>
    </row>
    <row r="108" ht="14.25" customHeight="1" s="25">
      <c r="A108" s="9" t="n"/>
      <c r="B108" s="9" t="n"/>
    </row>
    <row r="109" ht="14.25" customHeight="1" s="25">
      <c r="A109" s="9" t="n"/>
      <c r="B109" s="9" t="n"/>
    </row>
    <row r="110" ht="14.25" customHeight="1" s="25">
      <c r="A110" s="9" t="n"/>
      <c r="B110" s="9" t="n"/>
    </row>
    <row r="111" ht="14.25" customHeight="1" s="25">
      <c r="A111" s="9" t="n"/>
      <c r="B111" s="9" t="n"/>
    </row>
    <row r="112" ht="14.25" customHeight="1" s="25">
      <c r="A112" s="9" t="n"/>
      <c r="B112" s="9" t="n"/>
    </row>
    <row r="113" ht="14.25" customHeight="1" s="25">
      <c r="A113" s="9" t="n"/>
      <c r="B113" s="9" t="n"/>
    </row>
    <row r="114" ht="14.25" customHeight="1" s="25">
      <c r="A114" s="9" t="n"/>
      <c r="B114" s="9" t="n"/>
    </row>
    <row r="115" ht="14.25" customHeight="1" s="25">
      <c r="A115" s="9" t="n"/>
      <c r="B115" s="9" t="n"/>
    </row>
    <row r="116" ht="14.25" customHeight="1" s="25">
      <c r="A116" s="9" t="n"/>
      <c r="B116" s="9" t="n"/>
    </row>
    <row r="117" ht="14.25" customHeight="1" s="25">
      <c r="A117" s="9" t="n"/>
      <c r="B117" s="9" t="n"/>
    </row>
    <row r="118" ht="14.25" customHeight="1" s="25">
      <c r="A118" s="9" t="n"/>
      <c r="B118" s="9" t="n"/>
    </row>
    <row r="119" ht="14.25" customHeight="1" s="25">
      <c r="A119" s="9" t="n"/>
      <c r="B119" s="9" t="n"/>
    </row>
    <row r="120" ht="14.25" customHeight="1" s="25">
      <c r="A120" s="9" t="n"/>
      <c r="B120" s="9" t="n"/>
    </row>
    <row r="121" ht="14.25" customHeight="1" s="25">
      <c r="A121" s="9" t="n"/>
      <c r="B121" s="9" t="n"/>
    </row>
    <row r="122" ht="14.25" customHeight="1" s="25">
      <c r="A122" s="9" t="n"/>
      <c r="B122" s="9" t="n"/>
    </row>
    <row r="123" ht="14.25" customHeight="1" s="25">
      <c r="A123" s="9" t="n"/>
      <c r="B123" s="9" t="n"/>
    </row>
    <row r="124" ht="14.25" customHeight="1" s="25">
      <c r="A124" s="9" t="n"/>
      <c r="B124" s="9" t="n"/>
    </row>
    <row r="125" ht="14.25" customHeight="1" s="25">
      <c r="A125" s="9" t="n"/>
      <c r="B125" s="9" t="n"/>
    </row>
    <row r="126" ht="14.25" customHeight="1" s="25">
      <c r="A126" s="9" t="n"/>
      <c r="B126" s="9" t="n"/>
    </row>
    <row r="127" ht="14.25" customHeight="1" s="25">
      <c r="A127" s="9" t="n"/>
      <c r="B127" s="9" t="n"/>
    </row>
    <row r="128" ht="14.25" customHeight="1" s="25">
      <c r="A128" s="9" t="n"/>
      <c r="B128" s="9" t="n"/>
    </row>
    <row r="129" ht="14.25" customHeight="1" s="25">
      <c r="A129" s="9" t="n"/>
      <c r="B129" s="9" t="n"/>
    </row>
    <row r="130" ht="14.25" customHeight="1" s="25">
      <c r="A130" s="9" t="n"/>
      <c r="B130" s="9" t="n"/>
    </row>
    <row r="131" ht="14.25" customHeight="1" s="25">
      <c r="A131" s="9" t="n"/>
      <c r="B131" s="9" t="n"/>
    </row>
    <row r="132" ht="14.25" customHeight="1" s="25">
      <c r="A132" s="9" t="n"/>
      <c r="B132" s="9" t="n"/>
    </row>
    <row r="133" ht="14.25" customHeight="1" s="25">
      <c r="A133" s="9" t="n"/>
      <c r="B133" s="9" t="n"/>
    </row>
    <row r="134" ht="14.25" customHeight="1" s="25">
      <c r="A134" s="9" t="n"/>
      <c r="B134" s="9" t="n"/>
    </row>
    <row r="135" ht="14.25" customHeight="1" s="25">
      <c r="A135" s="9" t="n"/>
      <c r="B135" s="9" t="n"/>
    </row>
    <row r="136" ht="14.25" customHeight="1" s="25">
      <c r="A136" s="9" t="n"/>
      <c r="B136" s="9" t="n"/>
    </row>
    <row r="137" ht="14.25" customHeight="1" s="25">
      <c r="A137" s="9" t="n"/>
      <c r="B137" s="9" t="n"/>
    </row>
    <row r="138" ht="14.25" customHeight="1" s="25">
      <c r="A138" s="9" t="n"/>
      <c r="B138" s="9" t="n"/>
    </row>
    <row r="139" ht="14.25" customHeight="1" s="25">
      <c r="A139" s="9" t="n"/>
      <c r="B139" s="9" t="n"/>
    </row>
    <row r="140" ht="14.25" customHeight="1" s="25">
      <c r="A140" s="9" t="n"/>
      <c r="B140" s="9" t="n"/>
    </row>
    <row r="141" ht="14.25" customHeight="1" s="25">
      <c r="A141" s="9" t="n"/>
      <c r="B141" s="9" t="n"/>
    </row>
    <row r="142" ht="14.25" customHeight="1" s="25">
      <c r="A142" s="9" t="n"/>
      <c r="B142" s="9" t="n"/>
    </row>
    <row r="143" ht="14.25" customHeight="1" s="25">
      <c r="A143" s="9" t="n"/>
      <c r="B143" s="9" t="n"/>
    </row>
    <row r="144" ht="14.25" customHeight="1" s="25">
      <c r="A144" s="9" t="n"/>
      <c r="B144" s="9" t="n"/>
    </row>
    <row r="145" ht="14.25" customHeight="1" s="25">
      <c r="A145" s="9" t="n"/>
      <c r="B145" s="9" t="n"/>
    </row>
    <row r="146" ht="14.25" customHeight="1" s="25">
      <c r="A146" s="9" t="n"/>
      <c r="B146" s="9" t="n"/>
    </row>
    <row r="147" ht="14.25" customHeight="1" s="25">
      <c r="A147" s="9" t="n"/>
      <c r="B147" s="9" t="n"/>
    </row>
    <row r="148" ht="14.25" customHeight="1" s="25">
      <c r="A148" s="9" t="n"/>
      <c r="B148" s="9" t="n"/>
    </row>
    <row r="149" ht="14.25" customHeight="1" s="25">
      <c r="A149" s="9" t="n"/>
      <c r="B149" s="9" t="n"/>
    </row>
    <row r="150" ht="14.25" customHeight="1" s="25">
      <c r="A150" s="9" t="n"/>
      <c r="B150" s="9" t="n"/>
    </row>
    <row r="151" ht="14.25" customHeight="1" s="25">
      <c r="A151" s="9" t="n"/>
      <c r="B151" s="9" t="n"/>
    </row>
    <row r="152" ht="14.25" customHeight="1" s="25">
      <c r="A152" s="9" t="n"/>
      <c r="B152" s="9" t="n"/>
    </row>
    <row r="153" ht="14.25" customHeight="1" s="25">
      <c r="A153" s="9" t="n"/>
      <c r="B153" s="9" t="n"/>
    </row>
    <row r="154" ht="14.25" customHeight="1" s="25">
      <c r="A154" s="9" t="n"/>
      <c r="B154" s="9" t="n"/>
    </row>
    <row r="155" ht="14.25" customHeight="1" s="25">
      <c r="A155" s="9" t="n"/>
      <c r="B155" s="9" t="n"/>
    </row>
    <row r="156" ht="14.25" customHeight="1" s="25">
      <c r="A156" s="9" t="n"/>
      <c r="B156" s="9" t="n"/>
    </row>
    <row r="157" ht="14.25" customHeight="1" s="25">
      <c r="A157" s="9" t="n"/>
      <c r="B157" s="9" t="n"/>
    </row>
    <row r="158" ht="14.25" customHeight="1" s="25">
      <c r="A158" s="9" t="n"/>
      <c r="B158" s="9" t="n"/>
    </row>
    <row r="159" ht="14.25" customHeight="1" s="25">
      <c r="A159" s="9" t="n"/>
      <c r="B159" s="9" t="n"/>
    </row>
    <row r="160" ht="14.25" customHeight="1" s="25">
      <c r="A160" s="9" t="n"/>
      <c r="B160" s="9" t="n"/>
    </row>
    <row r="161" ht="14.25" customHeight="1" s="25">
      <c r="A161" s="9" t="n"/>
      <c r="B161" s="9" t="n"/>
    </row>
    <row r="162" ht="14.25" customHeight="1" s="25">
      <c r="A162" s="9" t="n"/>
      <c r="B162" s="9" t="n"/>
    </row>
    <row r="163" ht="14.25" customHeight="1" s="25">
      <c r="A163" s="9" t="n"/>
      <c r="B163" s="9" t="n"/>
    </row>
    <row r="164" ht="14.25" customHeight="1" s="25">
      <c r="A164" s="9" t="n"/>
      <c r="B164" s="9" t="n"/>
    </row>
    <row r="165" ht="14.25" customHeight="1" s="25">
      <c r="A165" s="9" t="n"/>
      <c r="B165" s="9" t="n"/>
    </row>
    <row r="166" ht="14.25" customHeight="1" s="25">
      <c r="A166" s="9" t="n"/>
      <c r="B166" s="9" t="n"/>
    </row>
    <row r="167" ht="14.25" customHeight="1" s="25">
      <c r="A167" s="9" t="n"/>
      <c r="B167" s="9" t="n"/>
    </row>
    <row r="168" ht="14.25" customHeight="1" s="25">
      <c r="A168" s="9" t="n"/>
      <c r="B168" s="9" t="n"/>
    </row>
    <row r="169" ht="14.25" customHeight="1" s="25">
      <c r="A169" s="9" t="n"/>
      <c r="B169" s="9" t="n"/>
    </row>
    <row r="170" ht="14.25" customHeight="1" s="25">
      <c r="A170" s="9" t="n"/>
      <c r="B170" s="9" t="n"/>
    </row>
    <row r="171" ht="14.25" customHeight="1" s="25">
      <c r="A171" s="9" t="n"/>
      <c r="B171" s="9" t="n"/>
    </row>
    <row r="172" ht="14.25" customHeight="1" s="25">
      <c r="A172" s="9" t="n"/>
      <c r="B172" s="9" t="n"/>
    </row>
    <row r="173" ht="14.25" customHeight="1" s="25">
      <c r="A173" s="9" t="n"/>
      <c r="B173" s="9" t="n"/>
    </row>
    <row r="174" ht="14.25" customHeight="1" s="25">
      <c r="A174" s="9" t="n"/>
      <c r="B174" s="9" t="n"/>
    </row>
    <row r="175" ht="14.25" customHeight="1" s="25">
      <c r="A175" s="9" t="n"/>
      <c r="B175" s="9" t="n"/>
    </row>
    <row r="176" ht="14.25" customHeight="1" s="25">
      <c r="A176" s="9" t="n"/>
      <c r="B176" s="9" t="n"/>
    </row>
    <row r="177" ht="14.25" customHeight="1" s="25">
      <c r="A177" s="9" t="n"/>
      <c r="B177" s="9" t="n"/>
    </row>
    <row r="178" ht="14.25" customHeight="1" s="25">
      <c r="A178" s="9" t="n"/>
      <c r="B178" s="9" t="n"/>
    </row>
    <row r="179" ht="14.25" customHeight="1" s="25">
      <c r="A179" s="9" t="n"/>
      <c r="B179" s="9" t="n"/>
    </row>
    <row r="180" ht="14.25" customHeight="1" s="25">
      <c r="A180" s="9" t="n"/>
      <c r="B180" s="9" t="n"/>
    </row>
    <row r="181" ht="14.25" customHeight="1" s="25">
      <c r="A181" s="9" t="n"/>
      <c r="B181" s="9" t="n"/>
    </row>
    <row r="182" ht="14.25" customHeight="1" s="25">
      <c r="A182" s="9" t="n"/>
      <c r="B182" s="9" t="n"/>
    </row>
    <row r="183" ht="14.25" customHeight="1" s="25">
      <c r="A183" s="9" t="n"/>
      <c r="B183" s="9" t="n"/>
    </row>
    <row r="184" ht="14.25" customHeight="1" s="25">
      <c r="A184" s="9" t="n"/>
      <c r="B184" s="9" t="n"/>
    </row>
    <row r="185" ht="14.25" customHeight="1" s="25">
      <c r="A185" s="9" t="n"/>
      <c r="B185" s="9" t="n"/>
    </row>
    <row r="186" ht="14.25" customHeight="1" s="25">
      <c r="A186" s="9" t="n"/>
      <c r="B186" s="9" t="n"/>
    </row>
    <row r="187" ht="14.25" customHeight="1" s="25">
      <c r="A187" s="9" t="n"/>
      <c r="B187" s="9" t="n"/>
    </row>
    <row r="188" ht="14.25" customHeight="1" s="25">
      <c r="A188" s="9" t="n"/>
      <c r="B188" s="9" t="n"/>
    </row>
    <row r="189" ht="14.25" customHeight="1" s="25">
      <c r="A189" s="9" t="n"/>
      <c r="B189" s="9" t="n"/>
    </row>
    <row r="190" ht="14.25" customHeight="1" s="25">
      <c r="A190" s="9" t="n"/>
      <c r="B190" s="9" t="n"/>
    </row>
    <row r="191" ht="14.25" customHeight="1" s="25">
      <c r="A191" s="9" t="n"/>
      <c r="B191" s="9" t="n"/>
    </row>
    <row r="192" ht="14.25" customHeight="1" s="25">
      <c r="A192" s="9" t="n"/>
      <c r="B192" s="9" t="n"/>
    </row>
    <row r="193" ht="14.25" customHeight="1" s="25">
      <c r="A193" s="9" t="n"/>
      <c r="B193" s="9" t="n"/>
    </row>
    <row r="194" ht="14.25" customHeight="1" s="25">
      <c r="A194" s="9" t="n"/>
      <c r="B194" s="9" t="n"/>
    </row>
    <row r="195" ht="14.25" customHeight="1" s="25">
      <c r="A195" s="9" t="n"/>
      <c r="B195" s="9" t="n"/>
    </row>
    <row r="196" ht="14.25" customHeight="1" s="25">
      <c r="A196" s="9" t="n"/>
      <c r="B196" s="9" t="n"/>
    </row>
    <row r="197" ht="14.25" customHeight="1" s="25">
      <c r="A197" s="9" t="n"/>
      <c r="B197" s="9" t="n"/>
    </row>
    <row r="198" ht="14.25" customHeight="1" s="25">
      <c r="A198" s="9" t="n"/>
      <c r="B198" s="9" t="n"/>
    </row>
    <row r="199" ht="14.25" customHeight="1" s="25">
      <c r="A199" s="9" t="n"/>
      <c r="B199" s="9" t="n"/>
    </row>
    <row r="200" ht="14.25" customHeight="1" s="25">
      <c r="A200" s="9" t="n"/>
      <c r="B200" s="9" t="n"/>
    </row>
    <row r="201" ht="14.25" customHeight="1" s="25">
      <c r="A201" s="9" t="n"/>
      <c r="B201" s="9" t="n"/>
    </row>
    <row r="202" ht="14.25" customHeight="1" s="25">
      <c r="A202" s="9" t="n"/>
      <c r="B202" s="9" t="n"/>
    </row>
    <row r="203" ht="14.25" customHeight="1" s="25">
      <c r="A203" s="9" t="n"/>
      <c r="B203" s="9" t="n"/>
    </row>
    <row r="204" ht="14.25" customHeight="1" s="25">
      <c r="A204" s="9" t="n"/>
      <c r="B204" s="9" t="n"/>
    </row>
    <row r="205" ht="14.25" customHeight="1" s="25">
      <c r="A205" s="9" t="n"/>
      <c r="B205" s="9" t="n"/>
    </row>
    <row r="206" ht="14.25" customHeight="1" s="25">
      <c r="A206" s="9" t="n"/>
      <c r="B206" s="9" t="n"/>
    </row>
    <row r="207" ht="14.25" customHeight="1" s="25">
      <c r="A207" s="9" t="n"/>
      <c r="B207" s="9" t="n"/>
    </row>
    <row r="208" ht="14.25" customHeight="1" s="25">
      <c r="A208" s="9" t="n"/>
      <c r="B208" s="9" t="n"/>
    </row>
    <row r="209" ht="14.25" customHeight="1" s="25">
      <c r="A209" s="9" t="n"/>
      <c r="B209" s="9" t="n"/>
    </row>
    <row r="210" ht="14.25" customHeight="1" s="25">
      <c r="A210" s="9" t="n"/>
      <c r="B210" s="9" t="n"/>
    </row>
    <row r="211" ht="14.25" customHeight="1" s="25">
      <c r="A211" s="9" t="n"/>
      <c r="B211" s="9" t="n"/>
    </row>
    <row r="212" ht="14.25" customHeight="1" s="25">
      <c r="A212" s="9" t="n"/>
      <c r="B212" s="9" t="n"/>
    </row>
    <row r="213" ht="14.25" customHeight="1" s="25">
      <c r="A213" s="9" t="n"/>
      <c r="B213" s="9" t="n"/>
    </row>
    <row r="214" ht="14.25" customHeight="1" s="25">
      <c r="A214" s="9" t="n"/>
      <c r="B214" s="9" t="n"/>
    </row>
    <row r="215" ht="14.25" customHeight="1" s="25">
      <c r="A215" s="9" t="n"/>
      <c r="B215" s="9" t="n"/>
    </row>
    <row r="216" ht="14.25" customHeight="1" s="25">
      <c r="A216" s="9" t="n"/>
      <c r="B216" s="9" t="n"/>
    </row>
    <row r="217" ht="14.25" customHeight="1" s="25">
      <c r="A217" s="9" t="n"/>
      <c r="B217" s="9" t="n"/>
    </row>
    <row r="218" ht="14.25" customHeight="1" s="25">
      <c r="A218" s="9" t="n"/>
      <c r="B218" s="9" t="n"/>
    </row>
    <row r="219" ht="14.25" customHeight="1" s="25">
      <c r="A219" s="9" t="n"/>
      <c r="B219" s="9" t="n"/>
    </row>
    <row r="220" ht="14.25" customHeight="1" s="25">
      <c r="A220" s="9" t="n"/>
      <c r="B220" s="9" t="n"/>
    </row>
    <row r="221" ht="14.25" customHeight="1" s="25">
      <c r="A221" s="9" t="n"/>
      <c r="B221" s="9" t="n"/>
    </row>
    <row r="222" ht="14.25" customHeight="1" s="25">
      <c r="A222" s="9" t="n"/>
      <c r="B222" s="9" t="n"/>
    </row>
    <row r="223" ht="14.25" customHeight="1" s="25">
      <c r="A223" s="9" t="n"/>
      <c r="B223" s="9" t="n"/>
    </row>
    <row r="224" ht="14.25" customHeight="1" s="25">
      <c r="A224" s="9" t="n"/>
      <c r="B224" s="9" t="n"/>
    </row>
    <row r="225" ht="14.25" customHeight="1" s="25">
      <c r="A225" s="9" t="n"/>
      <c r="B225" s="9" t="n"/>
    </row>
    <row r="226" ht="14.25" customHeight="1" s="25">
      <c r="A226" s="9" t="n"/>
      <c r="B226" s="9" t="n"/>
    </row>
    <row r="227" ht="14.25" customHeight="1" s="25">
      <c r="A227" s="9" t="n"/>
      <c r="B227" s="9" t="n"/>
    </row>
    <row r="228" ht="14.25" customHeight="1" s="25">
      <c r="A228" s="9" t="n"/>
      <c r="B228" s="9" t="n"/>
    </row>
    <row r="229" ht="14.25" customHeight="1" s="25">
      <c r="A229" s="9" t="n"/>
      <c r="B229" s="9" t="n"/>
    </row>
    <row r="230" ht="14.25" customHeight="1" s="25">
      <c r="A230" s="9" t="n"/>
      <c r="B230" s="9" t="n"/>
    </row>
    <row r="231" ht="14.25" customHeight="1" s="25">
      <c r="A231" s="9" t="n"/>
      <c r="B231" s="9" t="n"/>
    </row>
    <row r="232" ht="14.25" customHeight="1" s="25">
      <c r="A232" s="9" t="n"/>
      <c r="B232" s="9" t="n"/>
    </row>
    <row r="233" ht="14.25" customHeight="1" s="25">
      <c r="A233" s="9" t="n"/>
      <c r="B233" s="9" t="n"/>
    </row>
    <row r="234" ht="14.25" customHeight="1" s="25">
      <c r="A234" s="9" t="n"/>
      <c r="B234" s="9" t="n"/>
    </row>
    <row r="235" ht="14.25" customHeight="1" s="25">
      <c r="A235" s="9" t="n"/>
      <c r="B235" s="9" t="n"/>
    </row>
    <row r="236" ht="14.25" customHeight="1" s="25">
      <c r="A236" s="9" t="n"/>
      <c r="B236" s="9" t="n"/>
    </row>
    <row r="237" ht="14.25" customHeight="1" s="25">
      <c r="A237" s="9" t="n"/>
      <c r="B237" s="9" t="n"/>
    </row>
    <row r="238" ht="14.25" customHeight="1" s="25">
      <c r="A238" s="9" t="n"/>
      <c r="B238" s="9" t="n"/>
    </row>
    <row r="239" ht="14.25" customHeight="1" s="25">
      <c r="A239" s="9" t="n"/>
      <c r="B239" s="9" t="n"/>
    </row>
    <row r="240" ht="14.25" customHeight="1" s="25">
      <c r="A240" s="9" t="n"/>
      <c r="B240" s="9" t="n"/>
    </row>
    <row r="241" ht="14.25" customHeight="1" s="25">
      <c r="A241" s="9" t="n"/>
      <c r="B241" s="9" t="n"/>
    </row>
    <row r="242" ht="14.25" customHeight="1" s="25">
      <c r="A242" s="9" t="n"/>
      <c r="B242" s="9" t="n"/>
    </row>
    <row r="243" ht="14.25" customHeight="1" s="25">
      <c r="A243" s="9" t="n"/>
      <c r="B243" s="9" t="n"/>
    </row>
    <row r="244" ht="14.25" customHeight="1" s="25">
      <c r="A244" s="9" t="n"/>
      <c r="B244" s="9" t="n"/>
    </row>
    <row r="245" ht="14.25" customHeight="1" s="25">
      <c r="A245" s="9" t="n"/>
      <c r="B245" s="9" t="n"/>
    </row>
    <row r="246" ht="14.25" customHeight="1" s="25">
      <c r="A246" s="9" t="n"/>
      <c r="B246" s="9" t="n"/>
    </row>
    <row r="247" ht="14.25" customHeight="1" s="25">
      <c r="A247" s="9" t="n"/>
      <c r="B247" s="9" t="n"/>
    </row>
    <row r="248" ht="14.25" customHeight="1" s="25">
      <c r="A248" s="9" t="n"/>
      <c r="B248" s="9" t="n"/>
    </row>
    <row r="249" ht="14.25" customHeight="1" s="25">
      <c r="A249" s="9" t="n"/>
      <c r="B249" s="9" t="n"/>
    </row>
    <row r="250" ht="14.25" customHeight="1" s="25">
      <c r="A250" s="9" t="n"/>
      <c r="B250" s="9" t="n"/>
    </row>
    <row r="251" ht="14.25" customHeight="1" s="25">
      <c r="A251" s="9" t="n"/>
      <c r="B251" s="9" t="n"/>
    </row>
    <row r="252" ht="14.25" customHeight="1" s="25">
      <c r="A252" s="9" t="n"/>
      <c r="B252" s="9" t="n"/>
    </row>
    <row r="253" ht="14.25" customHeight="1" s="25">
      <c r="A253" s="9" t="n"/>
      <c r="B253" s="9" t="n"/>
    </row>
    <row r="254" ht="14.25" customHeight="1" s="25">
      <c r="A254" s="9" t="n"/>
      <c r="B254" s="9" t="n"/>
    </row>
    <row r="255" ht="14.25" customHeight="1" s="25">
      <c r="A255" s="9" t="n"/>
      <c r="B255" s="9" t="n"/>
    </row>
    <row r="256" ht="14.25" customHeight="1" s="25">
      <c r="A256" s="9" t="n"/>
      <c r="B256" s="9" t="n"/>
    </row>
    <row r="257" ht="14.25" customHeight="1" s="25">
      <c r="A257" s="9" t="n"/>
      <c r="B257" s="9" t="n"/>
    </row>
    <row r="258" ht="14.25" customHeight="1" s="25">
      <c r="A258" s="9" t="n"/>
      <c r="B258" s="9" t="n"/>
    </row>
    <row r="259" ht="14.25" customHeight="1" s="25">
      <c r="A259" s="9" t="n"/>
      <c r="B259" s="9" t="n"/>
    </row>
    <row r="260" ht="14.25" customHeight="1" s="25">
      <c r="A260" s="9" t="n"/>
      <c r="B260" s="9" t="n"/>
    </row>
    <row r="261" ht="14.25" customHeight="1" s="25">
      <c r="A261" s="9" t="n"/>
      <c r="B261" s="9" t="n"/>
    </row>
    <row r="262" ht="14.25" customHeight="1" s="25">
      <c r="A262" s="9" t="n"/>
      <c r="B262" s="9" t="n"/>
    </row>
    <row r="263" ht="14.25" customHeight="1" s="25">
      <c r="A263" s="9" t="n"/>
      <c r="B263" s="9" t="n"/>
    </row>
    <row r="264" ht="14.25" customHeight="1" s="25">
      <c r="A264" s="9" t="n"/>
      <c r="B264" s="9" t="n"/>
    </row>
    <row r="265" ht="14.25" customHeight="1" s="25">
      <c r="A265" s="9" t="n"/>
      <c r="B265" s="9" t="n"/>
    </row>
    <row r="266" ht="14.25" customHeight="1" s="25">
      <c r="A266" s="9" t="n"/>
      <c r="B266" s="9" t="n"/>
    </row>
    <row r="267" ht="14.25" customHeight="1" s="25">
      <c r="A267" s="9" t="n"/>
      <c r="B267" s="9" t="n"/>
    </row>
    <row r="268" ht="14.25" customHeight="1" s="25">
      <c r="A268" s="9" t="n"/>
      <c r="B268" s="9" t="n"/>
    </row>
    <row r="269" ht="14.25" customHeight="1" s="25">
      <c r="A269" s="9" t="n"/>
      <c r="B269" s="9" t="n"/>
    </row>
    <row r="270" ht="14.25" customHeight="1" s="25">
      <c r="A270" s="9" t="n"/>
      <c r="B270" s="9" t="n"/>
    </row>
    <row r="271" ht="14.25" customHeight="1" s="25">
      <c r="A271" s="9" t="n"/>
      <c r="B271" s="9" t="n"/>
    </row>
    <row r="272" ht="14.25" customHeight="1" s="25">
      <c r="A272" s="9" t="n"/>
      <c r="B272" s="9" t="n"/>
    </row>
    <row r="273" ht="14.25" customHeight="1" s="25">
      <c r="A273" s="9" t="n"/>
      <c r="B273" s="9" t="n"/>
    </row>
    <row r="274" ht="14.25" customHeight="1" s="25">
      <c r="A274" s="9" t="n"/>
      <c r="B274" s="9" t="n"/>
    </row>
    <row r="275" ht="14.25" customHeight="1" s="25">
      <c r="A275" s="9" t="n"/>
      <c r="B275" s="9" t="n"/>
    </row>
    <row r="276" ht="14.25" customHeight="1" s="25">
      <c r="A276" s="9" t="n"/>
      <c r="B276" s="9" t="n"/>
    </row>
    <row r="277" ht="14.25" customHeight="1" s="25">
      <c r="A277" s="9" t="n"/>
      <c r="B277" s="9" t="n"/>
    </row>
    <row r="278" ht="14.25" customHeight="1" s="25">
      <c r="A278" s="9" t="n"/>
      <c r="B278" s="9" t="n"/>
    </row>
    <row r="279" ht="14.25" customHeight="1" s="25">
      <c r="A279" s="9" t="n"/>
      <c r="B279" s="9" t="n"/>
    </row>
    <row r="280" ht="14.25" customHeight="1" s="25">
      <c r="A280" s="9" t="n"/>
      <c r="B280" s="9" t="n"/>
    </row>
    <row r="281" ht="14.25" customHeight="1" s="25">
      <c r="A281" s="9" t="n"/>
      <c r="B281" s="9" t="n"/>
    </row>
    <row r="282" ht="14.25" customHeight="1" s="25">
      <c r="A282" s="9" t="n"/>
      <c r="B282" s="9" t="n"/>
    </row>
    <row r="283" ht="14.25" customHeight="1" s="25">
      <c r="A283" s="9" t="n"/>
      <c r="B283" s="9" t="n"/>
    </row>
    <row r="284" ht="14.25" customHeight="1" s="25">
      <c r="A284" s="9" t="n"/>
      <c r="B284" s="9" t="n"/>
    </row>
    <row r="285" ht="14.25" customHeight="1" s="25">
      <c r="A285" s="9" t="n"/>
      <c r="B285" s="9" t="n"/>
    </row>
    <row r="286" ht="14.25" customHeight="1" s="25">
      <c r="A286" s="9" t="n"/>
      <c r="B286" s="9" t="n"/>
    </row>
    <row r="287" ht="14.25" customHeight="1" s="25">
      <c r="A287" s="9" t="n"/>
      <c r="B287" s="9" t="n"/>
    </row>
    <row r="288" ht="14.25" customHeight="1" s="25">
      <c r="A288" s="9" t="n"/>
      <c r="B288" s="9" t="n"/>
    </row>
    <row r="289" ht="14.25" customHeight="1" s="25">
      <c r="A289" s="9" t="n"/>
      <c r="B289" s="9" t="n"/>
    </row>
    <row r="290" ht="14.25" customHeight="1" s="25">
      <c r="A290" s="9" t="n"/>
      <c r="B290" s="9" t="n"/>
    </row>
    <row r="291" ht="14.25" customHeight="1" s="25">
      <c r="A291" s="9" t="n"/>
      <c r="B291" s="9" t="n"/>
    </row>
    <row r="292" ht="14.25" customHeight="1" s="25">
      <c r="A292" s="9" t="n"/>
      <c r="B292" s="9" t="n"/>
    </row>
    <row r="293" ht="14.25" customHeight="1" s="25">
      <c r="A293" s="9" t="n"/>
      <c r="B293" s="9" t="n"/>
    </row>
    <row r="294" ht="14.25" customHeight="1" s="25">
      <c r="A294" s="9" t="n"/>
      <c r="B294" s="9" t="n"/>
    </row>
    <row r="295" ht="14.25" customHeight="1" s="25">
      <c r="A295" s="9" t="n"/>
      <c r="B295" s="9" t="n"/>
    </row>
    <row r="296" ht="14.25" customHeight="1" s="25">
      <c r="A296" s="9" t="n"/>
      <c r="B296" s="9" t="n"/>
    </row>
    <row r="297" ht="14.25" customHeight="1" s="25">
      <c r="A297" s="9" t="n"/>
      <c r="B297" s="9" t="n"/>
    </row>
    <row r="298" ht="14.25" customHeight="1" s="25">
      <c r="A298" s="9" t="n"/>
      <c r="B298" s="9" t="n"/>
    </row>
    <row r="299" ht="14.25" customHeight="1" s="25">
      <c r="A299" s="9" t="n"/>
      <c r="B299" s="9" t="n"/>
    </row>
    <row r="300" ht="14.25" customHeight="1" s="25">
      <c r="A300" s="9" t="n"/>
      <c r="B300" s="9" t="n"/>
    </row>
    <row r="301" ht="14.25" customHeight="1" s="25">
      <c r="A301" s="9" t="n"/>
      <c r="B301" s="9" t="n"/>
    </row>
    <row r="302" ht="14.25" customHeight="1" s="25">
      <c r="A302" s="9" t="n"/>
      <c r="B302" s="9" t="n"/>
    </row>
    <row r="303" ht="14.25" customHeight="1" s="25">
      <c r="A303" s="9" t="n"/>
      <c r="B303" s="9" t="n"/>
    </row>
    <row r="304" ht="14.25" customHeight="1" s="25">
      <c r="A304" s="9" t="n"/>
      <c r="B304" s="9" t="n"/>
    </row>
    <row r="305" ht="14.25" customHeight="1" s="25">
      <c r="A305" s="9" t="n"/>
      <c r="B305" s="9" t="n"/>
    </row>
    <row r="306" ht="14.25" customHeight="1" s="25">
      <c r="A306" s="9" t="n"/>
      <c r="B306" s="9" t="n"/>
    </row>
    <row r="307" ht="14.25" customHeight="1" s="25">
      <c r="A307" s="9" t="n"/>
      <c r="B307" s="9" t="n"/>
    </row>
    <row r="308" ht="14.25" customHeight="1" s="25">
      <c r="A308" s="9" t="n"/>
      <c r="B308" s="9" t="n"/>
    </row>
    <row r="309" ht="14.25" customHeight="1" s="25">
      <c r="A309" s="9" t="n"/>
      <c r="B309" s="9" t="n"/>
    </row>
    <row r="310" ht="14.25" customHeight="1" s="25">
      <c r="A310" s="9" t="n"/>
      <c r="B310" s="9" t="n"/>
    </row>
    <row r="311" ht="14.25" customHeight="1" s="25">
      <c r="A311" s="9" t="n"/>
      <c r="B311" s="9" t="n"/>
    </row>
    <row r="312" ht="14.25" customHeight="1" s="25">
      <c r="A312" s="9" t="n"/>
      <c r="B312" s="9" t="n"/>
    </row>
    <row r="313" ht="14.25" customHeight="1" s="25">
      <c r="A313" s="9" t="n"/>
      <c r="B313" s="9" t="n"/>
    </row>
    <row r="314" ht="14.25" customHeight="1" s="25">
      <c r="A314" s="9" t="n"/>
      <c r="B314" s="9" t="n"/>
    </row>
    <row r="315" ht="14.25" customHeight="1" s="25">
      <c r="A315" s="9" t="n"/>
      <c r="B315" s="9" t="n"/>
    </row>
    <row r="316" ht="14.25" customHeight="1" s="25">
      <c r="A316" s="9" t="n"/>
      <c r="B316" s="9" t="n"/>
    </row>
    <row r="317" ht="14.25" customHeight="1" s="25">
      <c r="A317" s="9" t="n"/>
      <c r="B317" s="9" t="n"/>
    </row>
    <row r="318" ht="14.25" customHeight="1" s="25">
      <c r="A318" s="9" t="n"/>
      <c r="B318" s="9" t="n"/>
    </row>
    <row r="319" ht="14.25" customHeight="1" s="25">
      <c r="A319" s="9" t="n"/>
      <c r="B319" s="9" t="n"/>
    </row>
    <row r="320" ht="14.25" customHeight="1" s="25">
      <c r="A320" s="9" t="n"/>
      <c r="B320" s="9" t="n"/>
    </row>
    <row r="321" ht="14.25" customHeight="1" s="25">
      <c r="A321" s="9" t="n"/>
      <c r="B321" s="9" t="n"/>
    </row>
    <row r="322" ht="14.25" customHeight="1" s="25">
      <c r="A322" s="9" t="n"/>
      <c r="B322" s="9" t="n"/>
    </row>
    <row r="323" ht="14.25" customHeight="1" s="25">
      <c r="A323" s="9" t="n"/>
      <c r="B323" s="9" t="n"/>
    </row>
    <row r="324" ht="14.25" customHeight="1" s="25">
      <c r="A324" s="9" t="n"/>
      <c r="B324" s="9" t="n"/>
    </row>
    <row r="325" ht="14.25" customHeight="1" s="25">
      <c r="A325" s="9" t="n"/>
      <c r="B325" s="9" t="n"/>
    </row>
    <row r="326" ht="14.25" customHeight="1" s="25">
      <c r="A326" s="9" t="n"/>
      <c r="B326" s="9" t="n"/>
    </row>
    <row r="327" ht="14.25" customHeight="1" s="25">
      <c r="A327" s="9" t="n"/>
      <c r="B327" s="9" t="n"/>
    </row>
    <row r="328" ht="14.25" customHeight="1" s="25">
      <c r="A328" s="9" t="n"/>
      <c r="B328" s="9" t="n"/>
    </row>
    <row r="329" ht="14.25" customHeight="1" s="25">
      <c r="A329" s="9" t="n"/>
      <c r="B329" s="9" t="n"/>
    </row>
    <row r="330" ht="14.25" customHeight="1" s="25">
      <c r="A330" s="9" t="n"/>
      <c r="B330" s="9" t="n"/>
    </row>
    <row r="331" ht="14.25" customHeight="1" s="25">
      <c r="A331" s="9" t="n"/>
      <c r="B331" s="9" t="n"/>
    </row>
    <row r="332" ht="14.25" customHeight="1" s="25">
      <c r="A332" s="9" t="n"/>
      <c r="B332" s="9" t="n"/>
    </row>
    <row r="333" ht="14.25" customHeight="1" s="25">
      <c r="A333" s="9" t="n"/>
      <c r="B333" s="9" t="n"/>
    </row>
    <row r="334" ht="14.25" customHeight="1" s="25">
      <c r="A334" s="9" t="n"/>
      <c r="B334" s="9" t="n"/>
    </row>
    <row r="335" ht="14.25" customHeight="1" s="25">
      <c r="A335" s="9" t="n"/>
      <c r="B335" s="9" t="n"/>
    </row>
    <row r="336" ht="14.25" customHeight="1" s="25">
      <c r="A336" s="9" t="n"/>
      <c r="B336" s="9" t="n"/>
    </row>
    <row r="337" ht="14.25" customHeight="1" s="25">
      <c r="A337" s="9" t="n"/>
      <c r="B337" s="9" t="n"/>
    </row>
    <row r="338" ht="14.25" customHeight="1" s="25">
      <c r="A338" s="9" t="n"/>
      <c r="B338" s="9" t="n"/>
    </row>
    <row r="339" ht="14.25" customHeight="1" s="25">
      <c r="A339" s="9" t="n"/>
      <c r="B339" s="9" t="n"/>
    </row>
    <row r="340" ht="14.25" customHeight="1" s="25">
      <c r="A340" s="9" t="n"/>
      <c r="B340" s="9" t="n"/>
    </row>
    <row r="341" ht="14.25" customHeight="1" s="25">
      <c r="A341" s="9" t="n"/>
      <c r="B341" s="9" t="n"/>
    </row>
    <row r="342" ht="14.25" customHeight="1" s="25">
      <c r="A342" s="9" t="n"/>
      <c r="B342" s="9" t="n"/>
    </row>
    <row r="343" ht="14.25" customHeight="1" s="25">
      <c r="A343" s="9" t="n"/>
      <c r="B343" s="9" t="n"/>
    </row>
    <row r="344" ht="14.25" customHeight="1" s="25">
      <c r="A344" s="9" t="n"/>
      <c r="B344" s="9" t="n"/>
    </row>
    <row r="345" ht="14.25" customHeight="1" s="25">
      <c r="A345" s="9" t="n"/>
      <c r="B345" s="9" t="n"/>
    </row>
    <row r="346" ht="14.25" customHeight="1" s="25">
      <c r="A346" s="9" t="n"/>
      <c r="B346" s="9" t="n"/>
    </row>
    <row r="347" ht="14.25" customHeight="1" s="25">
      <c r="A347" s="9" t="n"/>
      <c r="B347" s="9" t="n"/>
    </row>
    <row r="348" ht="14.25" customHeight="1" s="25">
      <c r="A348" s="9" t="n"/>
      <c r="B348" s="9" t="n"/>
    </row>
    <row r="349" ht="14.25" customHeight="1" s="25">
      <c r="A349" s="9" t="n"/>
      <c r="B349" s="9" t="n"/>
    </row>
    <row r="350" ht="14.25" customHeight="1" s="25">
      <c r="A350" s="9" t="n"/>
      <c r="B350" s="9" t="n"/>
    </row>
    <row r="351" ht="14.25" customHeight="1" s="25">
      <c r="A351" s="9" t="n"/>
      <c r="B351" s="9" t="n"/>
    </row>
    <row r="352" ht="14.25" customHeight="1" s="25">
      <c r="A352" s="9" t="n"/>
      <c r="B352" s="9" t="n"/>
    </row>
    <row r="353" ht="14.25" customHeight="1" s="25">
      <c r="A353" s="9" t="n"/>
      <c r="B353" s="9" t="n"/>
    </row>
    <row r="354" ht="14.25" customHeight="1" s="25">
      <c r="A354" s="9" t="n"/>
      <c r="B354" s="9" t="n"/>
    </row>
    <row r="355" ht="14.25" customHeight="1" s="25">
      <c r="A355" s="9" t="n"/>
      <c r="B355" s="9" t="n"/>
    </row>
    <row r="356" ht="14.25" customHeight="1" s="25">
      <c r="A356" s="9" t="n"/>
      <c r="B356" s="9" t="n"/>
    </row>
    <row r="357" ht="14.25" customHeight="1" s="25">
      <c r="A357" s="9" t="n"/>
      <c r="B357" s="9" t="n"/>
    </row>
    <row r="358" ht="14.25" customHeight="1" s="25">
      <c r="A358" s="9" t="n"/>
      <c r="B358" s="9" t="n"/>
    </row>
    <row r="359" ht="14.25" customHeight="1" s="25">
      <c r="A359" s="9" t="n"/>
      <c r="B359" s="9" t="n"/>
    </row>
    <row r="360" ht="14.25" customHeight="1" s="25">
      <c r="A360" s="9" t="n"/>
      <c r="B360" s="9" t="n"/>
    </row>
    <row r="361" ht="14.25" customHeight="1" s="25">
      <c r="A361" s="9" t="n"/>
      <c r="B361" s="9" t="n"/>
    </row>
    <row r="362" ht="14.25" customHeight="1" s="25">
      <c r="A362" s="9" t="n"/>
      <c r="B362" s="9" t="n"/>
    </row>
    <row r="363" ht="14.25" customHeight="1" s="25">
      <c r="A363" s="9" t="n"/>
      <c r="B363" s="9" t="n"/>
    </row>
    <row r="364" ht="14.25" customHeight="1" s="25">
      <c r="A364" s="9" t="n"/>
      <c r="B364" s="9" t="n"/>
    </row>
    <row r="365" ht="14.25" customHeight="1" s="25">
      <c r="A365" s="9" t="n"/>
      <c r="B365" s="9" t="n"/>
    </row>
    <row r="366" ht="14.25" customHeight="1" s="25">
      <c r="A366" s="9" t="n"/>
      <c r="B366" s="9" t="n"/>
    </row>
    <row r="367" ht="14.25" customHeight="1" s="25">
      <c r="A367" s="9" t="n"/>
      <c r="B367" s="9" t="n"/>
    </row>
    <row r="368" ht="14.25" customHeight="1" s="25">
      <c r="A368" s="9" t="n"/>
      <c r="B368" s="9" t="n"/>
    </row>
    <row r="369" ht="14.25" customHeight="1" s="25">
      <c r="A369" s="9" t="n"/>
      <c r="B369" s="9" t="n"/>
    </row>
    <row r="370" ht="14.25" customHeight="1" s="25">
      <c r="A370" s="9" t="n"/>
      <c r="B370" s="9" t="n"/>
    </row>
    <row r="371" ht="14.25" customHeight="1" s="25">
      <c r="A371" s="9" t="n"/>
      <c r="B371" s="9" t="n"/>
    </row>
    <row r="372" ht="14.25" customHeight="1" s="25">
      <c r="A372" s="9" t="n"/>
      <c r="B372" s="9" t="n"/>
    </row>
    <row r="373" ht="14.25" customHeight="1" s="25">
      <c r="A373" s="9" t="n"/>
      <c r="B373" s="9" t="n"/>
    </row>
    <row r="374" ht="14.25" customHeight="1" s="25">
      <c r="A374" s="9" t="n"/>
      <c r="B374" s="9" t="n"/>
    </row>
    <row r="375" ht="14.25" customHeight="1" s="25">
      <c r="A375" s="9" t="n"/>
      <c r="B375" s="9" t="n"/>
    </row>
    <row r="376" ht="14.25" customHeight="1" s="25">
      <c r="A376" s="9" t="n"/>
      <c r="B376" s="9" t="n"/>
    </row>
    <row r="377" ht="14.25" customHeight="1" s="25">
      <c r="A377" s="9" t="n"/>
      <c r="B377" s="9" t="n"/>
    </row>
    <row r="378" ht="14.25" customHeight="1" s="25">
      <c r="A378" s="9" t="n"/>
      <c r="B378" s="9" t="n"/>
    </row>
    <row r="379" ht="14.25" customHeight="1" s="25">
      <c r="A379" s="9" t="n"/>
      <c r="B379" s="9" t="n"/>
    </row>
    <row r="380" ht="14.25" customHeight="1" s="25">
      <c r="A380" s="9" t="n"/>
      <c r="B380" s="9" t="n"/>
    </row>
    <row r="381" ht="14.25" customHeight="1" s="25">
      <c r="A381" s="9" t="n"/>
      <c r="B381" s="9" t="n"/>
    </row>
    <row r="382" ht="14.25" customHeight="1" s="25">
      <c r="A382" s="9" t="n"/>
      <c r="B382" s="9" t="n"/>
    </row>
    <row r="383" ht="14.25" customHeight="1" s="25">
      <c r="A383" s="9" t="n"/>
      <c r="B383" s="9" t="n"/>
    </row>
    <row r="384" ht="14.25" customHeight="1" s="25">
      <c r="A384" s="9" t="n"/>
      <c r="B384" s="9" t="n"/>
    </row>
    <row r="385" ht="14.25" customHeight="1" s="25">
      <c r="A385" s="9" t="n"/>
      <c r="B385" s="9" t="n"/>
    </row>
    <row r="386" ht="14.25" customHeight="1" s="25">
      <c r="A386" s="9" t="n"/>
      <c r="B386" s="9" t="n"/>
    </row>
    <row r="387" ht="14.25" customHeight="1" s="25">
      <c r="A387" s="9" t="n"/>
      <c r="B387" s="9" t="n"/>
    </row>
    <row r="388" ht="14.25" customHeight="1" s="25">
      <c r="A388" s="9" t="n"/>
      <c r="B388" s="9" t="n"/>
    </row>
    <row r="389" ht="14.25" customHeight="1" s="25">
      <c r="A389" s="9" t="n"/>
      <c r="B389" s="9" t="n"/>
    </row>
    <row r="390" ht="14.25" customHeight="1" s="25">
      <c r="A390" s="9" t="n"/>
      <c r="B390" s="9" t="n"/>
    </row>
    <row r="391" ht="14.25" customHeight="1" s="25">
      <c r="A391" s="9" t="n"/>
      <c r="B391" s="9" t="n"/>
    </row>
    <row r="392" ht="14.25" customHeight="1" s="25">
      <c r="A392" s="9" t="n"/>
      <c r="B392" s="9" t="n"/>
    </row>
    <row r="393" ht="14.25" customHeight="1" s="25">
      <c r="A393" s="9" t="n"/>
      <c r="B393" s="9" t="n"/>
    </row>
    <row r="394" ht="14.25" customHeight="1" s="25">
      <c r="A394" s="9" t="n"/>
      <c r="B394" s="9" t="n"/>
    </row>
    <row r="395" ht="14.25" customHeight="1" s="25">
      <c r="A395" s="9" t="n"/>
      <c r="B395" s="9" t="n"/>
    </row>
    <row r="396" ht="14.25" customHeight="1" s="25">
      <c r="A396" s="9" t="n"/>
      <c r="B396" s="9" t="n"/>
    </row>
    <row r="397" ht="14.25" customHeight="1" s="25">
      <c r="A397" s="9" t="n"/>
      <c r="B397" s="9" t="n"/>
    </row>
    <row r="398" ht="14.25" customHeight="1" s="25">
      <c r="A398" s="9" t="n"/>
      <c r="B398" s="9" t="n"/>
    </row>
    <row r="399" ht="14.25" customHeight="1" s="25">
      <c r="A399" s="9" t="n"/>
      <c r="B399" s="9" t="n"/>
    </row>
    <row r="400" ht="14.25" customHeight="1" s="25">
      <c r="A400" s="9" t="n"/>
      <c r="B400" s="9" t="n"/>
    </row>
    <row r="401" ht="14.25" customHeight="1" s="25">
      <c r="A401" s="9" t="n"/>
      <c r="B401" s="9" t="n"/>
    </row>
    <row r="402" ht="14.25" customHeight="1" s="25">
      <c r="A402" s="9" t="n"/>
      <c r="B402" s="9" t="n"/>
    </row>
    <row r="403" ht="14.25" customHeight="1" s="25">
      <c r="A403" s="9" t="n"/>
      <c r="B403" s="9" t="n"/>
    </row>
    <row r="404" ht="14.25" customHeight="1" s="25">
      <c r="A404" s="9" t="n"/>
      <c r="B404" s="9" t="n"/>
    </row>
    <row r="405" ht="14.25" customHeight="1" s="25">
      <c r="A405" s="9" t="n"/>
      <c r="B405" s="9" t="n"/>
    </row>
    <row r="406" ht="14.25" customHeight="1" s="25">
      <c r="A406" s="9" t="n"/>
      <c r="B406" s="9" t="n"/>
    </row>
    <row r="407" ht="14.25" customHeight="1" s="25">
      <c r="A407" s="9" t="n"/>
      <c r="B407" s="9" t="n"/>
    </row>
    <row r="408" ht="14.25" customHeight="1" s="25">
      <c r="A408" s="9" t="n"/>
      <c r="B408" s="9" t="n"/>
    </row>
    <row r="409" ht="14.25" customHeight="1" s="25">
      <c r="A409" s="9" t="n"/>
      <c r="B409" s="9" t="n"/>
    </row>
    <row r="410" ht="14.25" customHeight="1" s="25">
      <c r="A410" s="9" t="n"/>
      <c r="B410" s="9" t="n"/>
    </row>
    <row r="411" ht="14.25" customHeight="1" s="25">
      <c r="A411" s="9" t="n"/>
      <c r="B411" s="9" t="n"/>
    </row>
    <row r="412" ht="14.25" customHeight="1" s="25">
      <c r="A412" s="9" t="n"/>
      <c r="B412" s="9" t="n"/>
    </row>
    <row r="413" ht="14.25" customHeight="1" s="25">
      <c r="A413" s="9" t="n"/>
      <c r="B413" s="9" t="n"/>
    </row>
    <row r="414" ht="14.25" customHeight="1" s="25">
      <c r="A414" s="9" t="n"/>
      <c r="B414" s="9" t="n"/>
    </row>
    <row r="415" ht="14.25" customHeight="1" s="25">
      <c r="A415" s="9" t="n"/>
      <c r="B415" s="9" t="n"/>
    </row>
    <row r="416" ht="14.25" customHeight="1" s="25">
      <c r="A416" s="9" t="n"/>
      <c r="B416" s="9" t="n"/>
    </row>
    <row r="417" ht="14.25" customHeight="1" s="25">
      <c r="A417" s="9" t="n"/>
      <c r="B417" s="9" t="n"/>
    </row>
    <row r="418" ht="14.25" customHeight="1" s="25">
      <c r="A418" s="9" t="n"/>
      <c r="B418" s="9" t="n"/>
    </row>
    <row r="419" ht="14.25" customHeight="1" s="25">
      <c r="A419" s="9" t="n"/>
      <c r="B419" s="9" t="n"/>
    </row>
    <row r="420" ht="14.25" customHeight="1" s="25">
      <c r="A420" s="9" t="n"/>
      <c r="B420" s="9" t="n"/>
    </row>
    <row r="421" ht="14.25" customHeight="1" s="25">
      <c r="A421" s="9" t="n"/>
      <c r="B421" s="9" t="n"/>
    </row>
    <row r="422" ht="14.25" customHeight="1" s="25">
      <c r="A422" s="9" t="n"/>
      <c r="B422" s="9" t="n"/>
    </row>
    <row r="423" ht="14.25" customHeight="1" s="25">
      <c r="A423" s="9" t="n"/>
      <c r="B423" s="9" t="n"/>
    </row>
    <row r="424" ht="14.25" customHeight="1" s="25">
      <c r="A424" s="9" t="n"/>
      <c r="B424" s="9" t="n"/>
    </row>
    <row r="425" ht="14.25" customHeight="1" s="25">
      <c r="A425" s="9" t="n"/>
      <c r="B425" s="9" t="n"/>
    </row>
    <row r="426" ht="14.25" customHeight="1" s="25">
      <c r="A426" s="9" t="n"/>
      <c r="B426" s="9" t="n"/>
    </row>
    <row r="427" ht="14.25" customHeight="1" s="25">
      <c r="A427" s="9" t="n"/>
      <c r="B427" s="9" t="n"/>
    </row>
    <row r="428" ht="14.25" customHeight="1" s="25">
      <c r="A428" s="9" t="n"/>
      <c r="B428" s="9" t="n"/>
    </row>
    <row r="429" ht="14.25" customHeight="1" s="25">
      <c r="A429" s="9" t="n"/>
      <c r="B429" s="9" t="n"/>
    </row>
    <row r="430" ht="14.25" customHeight="1" s="25">
      <c r="A430" s="9" t="n"/>
      <c r="B430" s="9" t="n"/>
    </row>
    <row r="431" ht="14.25" customHeight="1" s="25">
      <c r="A431" s="9" t="n"/>
      <c r="B431" s="9" t="n"/>
    </row>
    <row r="432" ht="14.25" customHeight="1" s="25">
      <c r="A432" s="9" t="n"/>
      <c r="B432" s="9" t="n"/>
    </row>
    <row r="433" ht="14.25" customHeight="1" s="25">
      <c r="A433" s="9" t="n"/>
      <c r="B433" s="9" t="n"/>
    </row>
    <row r="434" ht="14.25" customHeight="1" s="25">
      <c r="A434" s="9" t="n"/>
      <c r="B434" s="9" t="n"/>
    </row>
    <row r="435" ht="14.25" customHeight="1" s="25">
      <c r="A435" s="9" t="n"/>
      <c r="B435" s="9" t="n"/>
    </row>
    <row r="436" ht="14.25" customHeight="1" s="25">
      <c r="A436" s="9" t="n"/>
      <c r="B436" s="9" t="n"/>
    </row>
    <row r="437" ht="14.25" customHeight="1" s="25">
      <c r="A437" s="9" t="n"/>
      <c r="B437" s="9" t="n"/>
    </row>
    <row r="438" ht="14.25" customHeight="1" s="25">
      <c r="A438" s="9" t="n"/>
      <c r="B438" s="9" t="n"/>
    </row>
    <row r="439" ht="14.25" customHeight="1" s="25">
      <c r="A439" s="9" t="n"/>
      <c r="B439" s="9" t="n"/>
    </row>
    <row r="440" ht="14.25" customHeight="1" s="25">
      <c r="A440" s="9" t="n"/>
      <c r="B440" s="9" t="n"/>
    </row>
    <row r="441" ht="14.25" customHeight="1" s="25">
      <c r="A441" s="9" t="n"/>
      <c r="B441" s="9" t="n"/>
    </row>
    <row r="442" ht="14.25" customHeight="1" s="25">
      <c r="A442" s="9" t="n"/>
      <c r="B442" s="9" t="n"/>
    </row>
    <row r="443" ht="14.25" customHeight="1" s="25">
      <c r="A443" s="9" t="n"/>
      <c r="B443" s="9" t="n"/>
    </row>
    <row r="444" ht="14.25" customHeight="1" s="25">
      <c r="A444" s="9" t="n"/>
      <c r="B444" s="9" t="n"/>
    </row>
    <row r="445" ht="14.25" customHeight="1" s="25">
      <c r="A445" s="9" t="n"/>
      <c r="B445" s="9" t="n"/>
    </row>
    <row r="446" ht="14.25" customHeight="1" s="25">
      <c r="A446" s="9" t="n"/>
      <c r="B446" s="9" t="n"/>
    </row>
    <row r="447" ht="14.25" customHeight="1" s="25">
      <c r="A447" s="9" t="n"/>
      <c r="B447" s="9" t="n"/>
    </row>
    <row r="448" ht="14.25" customHeight="1" s="25">
      <c r="A448" s="9" t="n"/>
      <c r="B448" s="9" t="n"/>
    </row>
    <row r="449" ht="14.25" customHeight="1" s="25">
      <c r="A449" s="9" t="n"/>
      <c r="B449" s="9" t="n"/>
    </row>
    <row r="450" ht="14.25" customHeight="1" s="25">
      <c r="A450" s="9" t="n"/>
      <c r="B450" s="9" t="n"/>
    </row>
    <row r="451" ht="14.25" customHeight="1" s="25">
      <c r="A451" s="9" t="n"/>
      <c r="B451" s="9" t="n"/>
    </row>
    <row r="452" ht="14.25" customHeight="1" s="25">
      <c r="A452" s="9" t="n"/>
      <c r="B452" s="9" t="n"/>
    </row>
    <row r="453" ht="14.25" customHeight="1" s="25">
      <c r="A453" s="9" t="n"/>
      <c r="B453" s="9" t="n"/>
    </row>
    <row r="454" ht="14.25" customHeight="1" s="25">
      <c r="A454" s="9" t="n"/>
      <c r="B454" s="9" t="n"/>
    </row>
    <row r="455" ht="14.25" customHeight="1" s="25">
      <c r="A455" s="9" t="n"/>
      <c r="B455" s="9" t="n"/>
    </row>
    <row r="456" ht="14.25" customHeight="1" s="25">
      <c r="A456" s="9" t="n"/>
      <c r="B456" s="9" t="n"/>
    </row>
    <row r="457" ht="14.25" customHeight="1" s="25">
      <c r="A457" s="9" t="n"/>
      <c r="B457" s="9" t="n"/>
    </row>
    <row r="458" ht="14.25" customHeight="1" s="25">
      <c r="A458" s="9" t="n"/>
      <c r="B458" s="9" t="n"/>
    </row>
    <row r="459" ht="14.25" customHeight="1" s="25">
      <c r="A459" s="9" t="n"/>
      <c r="B459" s="9" t="n"/>
    </row>
    <row r="460" ht="14.25" customHeight="1" s="25">
      <c r="A460" s="9" t="n"/>
      <c r="B460" s="9" t="n"/>
    </row>
    <row r="461" ht="14.25" customHeight="1" s="25">
      <c r="A461" s="9" t="n"/>
      <c r="B461" s="9" t="n"/>
    </row>
    <row r="462" ht="14.25" customHeight="1" s="25">
      <c r="A462" s="9" t="n"/>
      <c r="B462" s="9" t="n"/>
    </row>
    <row r="463" ht="14.25" customHeight="1" s="25">
      <c r="A463" s="9" t="n"/>
      <c r="B463" s="9" t="n"/>
    </row>
    <row r="464" ht="14.25" customHeight="1" s="25">
      <c r="A464" s="9" t="n"/>
      <c r="B464" s="9" t="n"/>
    </row>
    <row r="465" ht="14.25" customHeight="1" s="25">
      <c r="A465" s="9" t="n"/>
      <c r="B465" s="9" t="n"/>
    </row>
    <row r="466" ht="14.25" customHeight="1" s="25">
      <c r="A466" s="9" t="n"/>
      <c r="B466" s="9" t="n"/>
    </row>
    <row r="467" ht="14.25" customHeight="1" s="25">
      <c r="A467" s="9" t="n"/>
      <c r="B467" s="9" t="n"/>
    </row>
    <row r="468" ht="14.25" customHeight="1" s="25">
      <c r="A468" s="9" t="n"/>
      <c r="B468" s="9" t="n"/>
    </row>
    <row r="469" ht="14.25" customHeight="1" s="25">
      <c r="A469" s="9" t="n"/>
      <c r="B469" s="9" t="n"/>
    </row>
    <row r="470" ht="14.25" customHeight="1" s="25">
      <c r="A470" s="9" t="n"/>
      <c r="B470" s="9" t="n"/>
    </row>
    <row r="471" ht="14.25" customHeight="1" s="25">
      <c r="A471" s="9" t="n"/>
      <c r="B471" s="9" t="n"/>
    </row>
    <row r="472" ht="14.25" customHeight="1" s="25">
      <c r="A472" s="9" t="n"/>
      <c r="B472" s="9" t="n"/>
    </row>
    <row r="473" ht="14.25" customHeight="1" s="25">
      <c r="A473" s="9" t="n"/>
      <c r="B473" s="9" t="n"/>
    </row>
    <row r="474" ht="14.25" customHeight="1" s="25">
      <c r="A474" s="9" t="n"/>
      <c r="B474" s="9" t="n"/>
    </row>
    <row r="475" ht="14.25" customHeight="1" s="25">
      <c r="A475" s="9" t="n"/>
      <c r="B475" s="9" t="n"/>
    </row>
    <row r="476" ht="14.25" customHeight="1" s="25">
      <c r="A476" s="9" t="n"/>
      <c r="B476" s="9" t="n"/>
    </row>
    <row r="477" ht="14.25" customHeight="1" s="25">
      <c r="A477" s="9" t="n"/>
      <c r="B477" s="9" t="n"/>
    </row>
    <row r="478" ht="14.25" customHeight="1" s="25">
      <c r="A478" s="9" t="n"/>
      <c r="B478" s="9" t="n"/>
    </row>
    <row r="479" ht="14.25" customHeight="1" s="25">
      <c r="A479" s="9" t="n"/>
      <c r="B479" s="9" t="n"/>
    </row>
    <row r="480" ht="14.25" customHeight="1" s="25">
      <c r="A480" s="9" t="n"/>
      <c r="B480" s="9" t="n"/>
    </row>
    <row r="481" ht="14.25" customHeight="1" s="25">
      <c r="A481" s="9" t="n"/>
      <c r="B481" s="9" t="n"/>
    </row>
    <row r="482" ht="14.25" customHeight="1" s="25">
      <c r="A482" s="9" t="n"/>
      <c r="B482" s="9" t="n"/>
    </row>
    <row r="483" ht="14.25" customHeight="1" s="25">
      <c r="A483" s="9" t="n"/>
      <c r="B483" s="9" t="n"/>
    </row>
    <row r="484" ht="14.25" customHeight="1" s="25">
      <c r="A484" s="9" t="n"/>
      <c r="B484" s="9" t="n"/>
    </row>
    <row r="485" ht="14.25" customHeight="1" s="25">
      <c r="A485" s="9" t="n"/>
      <c r="B485" s="9" t="n"/>
    </row>
    <row r="486" ht="14.25" customHeight="1" s="25">
      <c r="A486" s="9" t="n"/>
      <c r="B486" s="9" t="n"/>
    </row>
    <row r="487" ht="14.25" customHeight="1" s="25">
      <c r="A487" s="9" t="n"/>
      <c r="B487" s="9" t="n"/>
    </row>
    <row r="488" ht="14.25" customHeight="1" s="25">
      <c r="A488" s="9" t="n"/>
      <c r="B488" s="9" t="n"/>
    </row>
    <row r="489" ht="14.25" customHeight="1" s="25">
      <c r="A489" s="9" t="n"/>
      <c r="B489" s="9" t="n"/>
    </row>
    <row r="490" ht="14.25" customHeight="1" s="25">
      <c r="A490" s="9" t="n"/>
      <c r="B490" s="9" t="n"/>
    </row>
    <row r="491" ht="14.25" customHeight="1" s="25">
      <c r="A491" s="9" t="n"/>
      <c r="B491" s="9" t="n"/>
    </row>
    <row r="492" ht="14.25" customHeight="1" s="25">
      <c r="A492" s="9" t="n"/>
      <c r="B492" s="9" t="n"/>
    </row>
    <row r="493" ht="14.25" customHeight="1" s="25">
      <c r="A493" s="9" t="n"/>
      <c r="B493" s="9" t="n"/>
    </row>
    <row r="494" ht="14.25" customHeight="1" s="25">
      <c r="A494" s="9" t="n"/>
      <c r="B494" s="9" t="n"/>
    </row>
    <row r="495" ht="14.25" customHeight="1" s="25">
      <c r="A495" s="9" t="n"/>
      <c r="B495" s="9" t="n"/>
    </row>
    <row r="496" ht="14.25" customHeight="1" s="25">
      <c r="A496" s="9" t="n"/>
      <c r="B496" s="9" t="n"/>
    </row>
    <row r="497" ht="14.25" customHeight="1" s="25">
      <c r="A497" s="9" t="n"/>
      <c r="B497" s="9" t="n"/>
    </row>
    <row r="498" ht="14.25" customHeight="1" s="25">
      <c r="A498" s="9" t="n"/>
      <c r="B498" s="9" t="n"/>
    </row>
    <row r="499" ht="14.25" customHeight="1" s="25">
      <c r="A499" s="9" t="n"/>
      <c r="B499" s="9" t="n"/>
    </row>
    <row r="500" ht="14.25" customHeight="1" s="25">
      <c r="A500" s="9" t="n"/>
      <c r="B500" s="9" t="n"/>
    </row>
    <row r="501" ht="14.25" customHeight="1" s="25">
      <c r="A501" s="9" t="n"/>
      <c r="B501" s="9" t="n"/>
    </row>
    <row r="502" ht="14.25" customHeight="1" s="25">
      <c r="A502" s="9" t="n"/>
      <c r="B502" s="9" t="n"/>
    </row>
    <row r="503" ht="14.25" customHeight="1" s="25">
      <c r="A503" s="9" t="n"/>
      <c r="B503" s="9" t="n"/>
    </row>
    <row r="504" ht="14.25" customHeight="1" s="25">
      <c r="A504" s="9" t="n"/>
      <c r="B504" s="9" t="n"/>
    </row>
    <row r="505" ht="14.25" customHeight="1" s="25">
      <c r="A505" s="9" t="n"/>
      <c r="B505" s="9" t="n"/>
    </row>
    <row r="506" ht="14.25" customHeight="1" s="25">
      <c r="A506" s="9" t="n"/>
      <c r="B506" s="9" t="n"/>
    </row>
    <row r="507" ht="14.25" customHeight="1" s="25">
      <c r="A507" s="9" t="n"/>
      <c r="B507" s="9" t="n"/>
    </row>
    <row r="508" ht="14.25" customHeight="1" s="25">
      <c r="A508" s="9" t="n"/>
      <c r="B508" s="9" t="n"/>
    </row>
    <row r="509" ht="14.25" customHeight="1" s="25">
      <c r="A509" s="9" t="n"/>
      <c r="B509" s="9" t="n"/>
    </row>
    <row r="510" ht="14.25" customHeight="1" s="25">
      <c r="A510" s="9" t="n"/>
      <c r="B510" s="9" t="n"/>
    </row>
    <row r="511" ht="14.25" customHeight="1" s="25">
      <c r="A511" s="9" t="n"/>
      <c r="B511" s="9" t="n"/>
    </row>
    <row r="512" ht="14.25" customHeight="1" s="25">
      <c r="A512" s="9" t="n"/>
      <c r="B512" s="9" t="n"/>
    </row>
    <row r="513" ht="14.25" customHeight="1" s="25">
      <c r="A513" s="9" t="n"/>
      <c r="B513" s="9" t="n"/>
    </row>
    <row r="514" ht="14.25" customHeight="1" s="25">
      <c r="A514" s="9" t="n"/>
      <c r="B514" s="9" t="n"/>
    </row>
    <row r="515" ht="14.25" customHeight="1" s="25">
      <c r="A515" s="9" t="n"/>
      <c r="B515" s="9" t="n"/>
    </row>
    <row r="516" ht="14.25" customHeight="1" s="25">
      <c r="A516" s="9" t="n"/>
      <c r="B516" s="9" t="n"/>
    </row>
    <row r="517" ht="14.25" customHeight="1" s="25">
      <c r="A517" s="9" t="n"/>
      <c r="B517" s="9" t="n"/>
    </row>
    <row r="518" ht="14.25" customHeight="1" s="25">
      <c r="A518" s="9" t="n"/>
      <c r="B518" s="9" t="n"/>
    </row>
    <row r="519" ht="14.25" customHeight="1" s="25">
      <c r="A519" s="9" t="n"/>
      <c r="B519" s="9" t="n"/>
    </row>
    <row r="520" ht="14.25" customHeight="1" s="25">
      <c r="A520" s="9" t="n"/>
      <c r="B520" s="9" t="n"/>
    </row>
    <row r="521" ht="14.25" customHeight="1" s="25">
      <c r="A521" s="9" t="n"/>
      <c r="B521" s="9" t="n"/>
    </row>
    <row r="522" ht="14.25" customHeight="1" s="25">
      <c r="A522" s="9" t="n"/>
      <c r="B522" s="9" t="n"/>
    </row>
    <row r="523" ht="14.25" customHeight="1" s="25">
      <c r="A523" s="9" t="n"/>
      <c r="B523" s="9" t="n"/>
    </row>
    <row r="524" ht="14.25" customHeight="1" s="25">
      <c r="A524" s="9" t="n"/>
      <c r="B524" s="9" t="n"/>
    </row>
    <row r="525" ht="14.25" customHeight="1" s="25">
      <c r="A525" s="9" t="n"/>
      <c r="B525" s="9" t="n"/>
    </row>
    <row r="526" ht="14.25" customHeight="1" s="25">
      <c r="A526" s="9" t="n"/>
      <c r="B526" s="9" t="n"/>
    </row>
    <row r="527" ht="14.25" customHeight="1" s="25">
      <c r="A527" s="9" t="n"/>
      <c r="B527" s="9" t="n"/>
    </row>
    <row r="528" ht="14.25" customHeight="1" s="25">
      <c r="A528" s="9" t="n"/>
      <c r="B528" s="9" t="n"/>
    </row>
    <row r="529" ht="14.25" customHeight="1" s="25">
      <c r="A529" s="9" t="n"/>
      <c r="B529" s="9" t="n"/>
    </row>
    <row r="530" ht="14.25" customHeight="1" s="25">
      <c r="A530" s="9" t="n"/>
      <c r="B530" s="9" t="n"/>
    </row>
    <row r="531" ht="14.25" customHeight="1" s="25">
      <c r="A531" s="9" t="n"/>
      <c r="B531" s="9" t="n"/>
    </row>
    <row r="532" ht="14.25" customHeight="1" s="25">
      <c r="A532" s="9" t="n"/>
      <c r="B532" s="9" t="n"/>
    </row>
    <row r="533" ht="14.25" customHeight="1" s="25">
      <c r="A533" s="9" t="n"/>
      <c r="B533" s="9" t="n"/>
    </row>
    <row r="534" ht="14.25" customHeight="1" s="25">
      <c r="A534" s="9" t="n"/>
      <c r="B534" s="9" t="n"/>
    </row>
    <row r="535" ht="14.25" customHeight="1" s="25">
      <c r="A535" s="9" t="n"/>
      <c r="B535" s="9" t="n"/>
    </row>
    <row r="536" ht="14.25" customHeight="1" s="25">
      <c r="A536" s="9" t="n"/>
      <c r="B536" s="9" t="n"/>
    </row>
    <row r="537" ht="14.25" customHeight="1" s="25">
      <c r="A537" s="9" t="n"/>
      <c r="B537" s="9" t="n"/>
    </row>
    <row r="538" ht="14.25" customHeight="1" s="25">
      <c r="A538" s="9" t="n"/>
      <c r="B538" s="9" t="n"/>
    </row>
    <row r="539" ht="14.25" customHeight="1" s="25">
      <c r="A539" s="9" t="n"/>
      <c r="B539" s="9" t="n"/>
    </row>
    <row r="540" ht="14.25" customHeight="1" s="25">
      <c r="A540" s="9" t="n"/>
      <c r="B540" s="9" t="n"/>
    </row>
    <row r="541" ht="14.25" customHeight="1" s="25">
      <c r="A541" s="9" t="n"/>
      <c r="B541" s="9" t="n"/>
    </row>
    <row r="542" ht="14.25" customHeight="1" s="25">
      <c r="A542" s="9" t="n"/>
      <c r="B542" s="9" t="n"/>
    </row>
    <row r="543" ht="14.25" customHeight="1" s="25">
      <c r="A543" s="9" t="n"/>
      <c r="B543" s="9" t="n"/>
    </row>
    <row r="544" ht="14.25" customHeight="1" s="25">
      <c r="A544" s="9" t="n"/>
      <c r="B544" s="9" t="n"/>
    </row>
    <row r="545" ht="14.25" customHeight="1" s="25">
      <c r="A545" s="9" t="n"/>
      <c r="B545" s="9" t="n"/>
    </row>
    <row r="546" ht="14.25" customHeight="1" s="25">
      <c r="A546" s="9" t="n"/>
      <c r="B546" s="9" t="n"/>
    </row>
    <row r="547" ht="14.25" customHeight="1" s="25">
      <c r="A547" s="9" t="n"/>
      <c r="B547" s="9" t="n"/>
    </row>
    <row r="548" ht="14.25" customHeight="1" s="25">
      <c r="A548" s="9" t="n"/>
      <c r="B548" s="9" t="n"/>
    </row>
    <row r="549" ht="14.25" customHeight="1" s="25">
      <c r="A549" s="9" t="n"/>
      <c r="B549" s="9" t="n"/>
    </row>
    <row r="550" ht="14.25" customHeight="1" s="25">
      <c r="A550" s="9" t="n"/>
      <c r="B550" s="9" t="n"/>
    </row>
    <row r="551" ht="14.25" customHeight="1" s="25">
      <c r="A551" s="9" t="n"/>
      <c r="B551" s="9" t="n"/>
    </row>
    <row r="552" ht="14.25" customHeight="1" s="25">
      <c r="A552" s="9" t="n"/>
      <c r="B552" s="9" t="n"/>
    </row>
    <row r="553" ht="14.25" customHeight="1" s="25">
      <c r="A553" s="9" t="n"/>
      <c r="B553" s="9" t="n"/>
    </row>
    <row r="554" ht="14.25" customHeight="1" s="25">
      <c r="A554" s="9" t="n"/>
      <c r="B554" s="9" t="n"/>
    </row>
    <row r="555" ht="14.25" customHeight="1" s="25">
      <c r="A555" s="9" t="n"/>
      <c r="B555" s="9" t="n"/>
    </row>
    <row r="556" ht="14.25" customHeight="1" s="25">
      <c r="A556" s="9" t="n"/>
      <c r="B556" s="9" t="n"/>
    </row>
    <row r="557" ht="14.25" customHeight="1" s="25">
      <c r="A557" s="9" t="n"/>
      <c r="B557" s="9" t="n"/>
    </row>
    <row r="558" ht="14.25" customHeight="1" s="25">
      <c r="A558" s="9" t="n"/>
      <c r="B558" s="9" t="n"/>
    </row>
    <row r="559" ht="14.25" customHeight="1" s="25">
      <c r="A559" s="9" t="n"/>
      <c r="B559" s="9" t="n"/>
    </row>
    <row r="560" ht="14.25" customHeight="1" s="25">
      <c r="A560" s="9" t="n"/>
      <c r="B560" s="9" t="n"/>
    </row>
    <row r="561" ht="14.25" customHeight="1" s="25">
      <c r="A561" s="9" t="n"/>
      <c r="B561" s="9" t="n"/>
    </row>
    <row r="562" ht="14.25" customHeight="1" s="25">
      <c r="A562" s="9" t="n"/>
      <c r="B562" s="9" t="n"/>
    </row>
    <row r="563" ht="14.25" customHeight="1" s="25">
      <c r="A563" s="9" t="n"/>
      <c r="B563" s="9" t="n"/>
    </row>
    <row r="564" ht="14.25" customHeight="1" s="25">
      <c r="A564" s="9" t="n"/>
      <c r="B564" s="9" t="n"/>
    </row>
    <row r="565" ht="14.25" customHeight="1" s="25">
      <c r="A565" s="9" t="n"/>
      <c r="B565" s="9" t="n"/>
    </row>
    <row r="566" ht="14.25" customHeight="1" s="25">
      <c r="A566" s="9" t="n"/>
      <c r="B566" s="9" t="n"/>
    </row>
    <row r="567" ht="14.25" customHeight="1" s="25">
      <c r="A567" s="9" t="n"/>
      <c r="B567" s="9" t="n"/>
    </row>
    <row r="568" ht="14.25" customHeight="1" s="25">
      <c r="A568" s="9" t="n"/>
      <c r="B568" s="9" t="n"/>
    </row>
    <row r="569" ht="14.25" customHeight="1" s="25">
      <c r="A569" s="9" t="n"/>
      <c r="B569" s="9" t="n"/>
    </row>
    <row r="570" ht="14.25" customHeight="1" s="25">
      <c r="A570" s="9" t="n"/>
      <c r="B570" s="9" t="n"/>
    </row>
    <row r="571" ht="14.25" customHeight="1" s="25">
      <c r="A571" s="9" t="n"/>
      <c r="B571" s="9" t="n"/>
    </row>
    <row r="572" ht="14.25" customHeight="1" s="25">
      <c r="A572" s="9" t="n"/>
      <c r="B572" s="9" t="n"/>
    </row>
    <row r="573" ht="14.25" customHeight="1" s="25">
      <c r="A573" s="9" t="n"/>
      <c r="B573" s="9" t="n"/>
    </row>
    <row r="574" ht="14.25" customHeight="1" s="25">
      <c r="A574" s="9" t="n"/>
      <c r="B574" s="9" t="n"/>
    </row>
    <row r="575" ht="14.25" customHeight="1" s="25">
      <c r="A575" s="9" t="n"/>
      <c r="B575" s="9" t="n"/>
    </row>
    <row r="576" ht="14.25" customHeight="1" s="25">
      <c r="A576" s="9" t="n"/>
      <c r="B576" s="9" t="n"/>
    </row>
    <row r="577" ht="14.25" customHeight="1" s="25">
      <c r="A577" s="9" t="n"/>
      <c r="B577" s="9" t="n"/>
    </row>
    <row r="578" ht="14.25" customHeight="1" s="25">
      <c r="A578" s="9" t="n"/>
      <c r="B578" s="9" t="n"/>
    </row>
    <row r="579" ht="14.25" customHeight="1" s="25">
      <c r="A579" s="9" t="n"/>
      <c r="B579" s="9" t="n"/>
    </row>
    <row r="580" ht="14.25" customHeight="1" s="25">
      <c r="A580" s="9" t="n"/>
      <c r="B580" s="9" t="n"/>
    </row>
    <row r="581" ht="14.25" customHeight="1" s="25">
      <c r="A581" s="9" t="n"/>
      <c r="B581" s="9" t="n"/>
    </row>
    <row r="582" ht="14.25" customHeight="1" s="25">
      <c r="A582" s="9" t="n"/>
      <c r="B582" s="9" t="n"/>
    </row>
    <row r="583" ht="14.25" customHeight="1" s="25">
      <c r="A583" s="9" t="n"/>
      <c r="B583" s="9" t="n"/>
    </row>
    <row r="584" ht="14.25" customHeight="1" s="25">
      <c r="A584" s="9" t="n"/>
      <c r="B584" s="9" t="n"/>
    </row>
    <row r="585" ht="14.25" customHeight="1" s="25">
      <c r="A585" s="9" t="n"/>
      <c r="B585" s="9" t="n"/>
    </row>
    <row r="586" ht="14.25" customHeight="1" s="25">
      <c r="A586" s="9" t="n"/>
      <c r="B586" s="9" t="n"/>
    </row>
    <row r="587" ht="14.25" customHeight="1" s="25">
      <c r="A587" s="9" t="n"/>
      <c r="B587" s="9" t="n"/>
    </row>
    <row r="588" ht="14.25" customHeight="1" s="25">
      <c r="A588" s="9" t="n"/>
      <c r="B588" s="9" t="n"/>
    </row>
    <row r="589" ht="14.25" customHeight="1" s="25">
      <c r="A589" s="9" t="n"/>
      <c r="B589" s="9" t="n"/>
    </row>
    <row r="590" ht="14.25" customHeight="1" s="25">
      <c r="A590" s="9" t="n"/>
      <c r="B590" s="9" t="n"/>
    </row>
    <row r="591" ht="14.25" customHeight="1" s="25">
      <c r="A591" s="9" t="n"/>
      <c r="B591" s="9" t="n"/>
    </row>
    <row r="592" ht="14.25" customHeight="1" s="25">
      <c r="A592" s="9" t="n"/>
      <c r="B592" s="9" t="n"/>
    </row>
    <row r="593" ht="14.25" customHeight="1" s="25">
      <c r="A593" s="9" t="n"/>
      <c r="B593" s="9" t="n"/>
    </row>
    <row r="594" ht="14.25" customHeight="1" s="25">
      <c r="A594" s="9" t="n"/>
      <c r="B594" s="9" t="n"/>
    </row>
    <row r="595" ht="14.25" customHeight="1" s="25">
      <c r="A595" s="9" t="n"/>
      <c r="B595" s="9" t="n"/>
    </row>
    <row r="596" ht="14.25" customHeight="1" s="25">
      <c r="A596" s="9" t="n"/>
      <c r="B596" s="9" t="n"/>
    </row>
    <row r="597" ht="14.25" customHeight="1" s="25">
      <c r="A597" s="9" t="n"/>
      <c r="B597" s="9" t="n"/>
    </row>
    <row r="598" ht="14.25" customHeight="1" s="25">
      <c r="A598" s="9" t="n"/>
      <c r="B598" s="9" t="n"/>
    </row>
    <row r="599" ht="14.25" customHeight="1" s="25">
      <c r="A599" s="9" t="n"/>
      <c r="B599" s="9" t="n"/>
    </row>
    <row r="600" ht="14.25" customHeight="1" s="25">
      <c r="A600" s="9" t="n"/>
      <c r="B600" s="9" t="n"/>
    </row>
    <row r="601" ht="14.25" customHeight="1" s="25">
      <c r="A601" s="9" t="n"/>
      <c r="B601" s="9" t="n"/>
    </row>
    <row r="602" ht="14.25" customHeight="1" s="25">
      <c r="A602" s="9" t="n"/>
      <c r="B602" s="9" t="n"/>
    </row>
    <row r="603" ht="14.25" customHeight="1" s="25">
      <c r="A603" s="9" t="n"/>
      <c r="B603" s="9" t="n"/>
    </row>
    <row r="604" ht="14.25" customHeight="1" s="25">
      <c r="A604" s="9" t="n"/>
      <c r="B604" s="9" t="n"/>
    </row>
    <row r="605" ht="14.25" customHeight="1" s="25">
      <c r="A605" s="9" t="n"/>
      <c r="B605" s="9" t="n"/>
    </row>
    <row r="606" ht="14.25" customHeight="1" s="25">
      <c r="A606" s="9" t="n"/>
      <c r="B606" s="9" t="n"/>
    </row>
    <row r="607" ht="14.25" customHeight="1" s="25">
      <c r="A607" s="9" t="n"/>
      <c r="B607" s="9" t="n"/>
    </row>
    <row r="608" ht="14.25" customHeight="1" s="25">
      <c r="A608" s="9" t="n"/>
      <c r="B608" s="9" t="n"/>
    </row>
    <row r="609" ht="14.25" customHeight="1" s="25">
      <c r="A609" s="9" t="n"/>
      <c r="B609" s="9" t="n"/>
    </row>
    <row r="610" ht="14.25" customHeight="1" s="25">
      <c r="A610" s="9" t="n"/>
      <c r="B610" s="9" t="n"/>
    </row>
    <row r="611" ht="14.25" customHeight="1" s="25">
      <c r="A611" s="9" t="n"/>
      <c r="B611" s="9" t="n"/>
    </row>
    <row r="612" ht="14.25" customHeight="1" s="25">
      <c r="A612" s="9" t="n"/>
      <c r="B612" s="9" t="n"/>
    </row>
    <row r="613" ht="14.25" customHeight="1" s="25">
      <c r="A613" s="9" t="n"/>
      <c r="B613" s="9" t="n"/>
    </row>
    <row r="614" ht="14.25" customHeight="1" s="25">
      <c r="A614" s="9" t="n"/>
      <c r="B614" s="9" t="n"/>
    </row>
    <row r="615" ht="14.25" customHeight="1" s="25">
      <c r="A615" s="9" t="n"/>
      <c r="B615" s="9" t="n"/>
    </row>
    <row r="616" ht="14.25" customHeight="1" s="25">
      <c r="A616" s="9" t="n"/>
      <c r="B616" s="9" t="n"/>
    </row>
    <row r="617" ht="14.25" customHeight="1" s="25">
      <c r="A617" s="9" t="n"/>
      <c r="B617" s="9" t="n"/>
    </row>
    <row r="618" ht="14.25" customHeight="1" s="25">
      <c r="A618" s="9" t="n"/>
      <c r="B618" s="9" t="n"/>
    </row>
    <row r="619" ht="14.25" customHeight="1" s="25">
      <c r="A619" s="9" t="n"/>
      <c r="B619" s="9" t="n"/>
    </row>
    <row r="620" ht="14.25" customHeight="1" s="25">
      <c r="A620" s="9" t="n"/>
      <c r="B620" s="9" t="n"/>
    </row>
    <row r="621" ht="14.25" customHeight="1" s="25">
      <c r="A621" s="9" t="n"/>
      <c r="B621" s="9" t="n"/>
    </row>
    <row r="622" ht="14.25" customHeight="1" s="25">
      <c r="A622" s="9" t="n"/>
      <c r="B622" s="9" t="n"/>
    </row>
    <row r="623" ht="14.25" customHeight="1" s="25">
      <c r="A623" s="9" t="n"/>
      <c r="B623" s="9" t="n"/>
    </row>
    <row r="624" ht="14.25" customHeight="1" s="25">
      <c r="A624" s="9" t="n"/>
      <c r="B624" s="9" t="n"/>
    </row>
    <row r="625" ht="14.25" customHeight="1" s="25">
      <c r="A625" s="9" t="n"/>
      <c r="B625" s="9" t="n"/>
    </row>
    <row r="626" ht="14.25" customHeight="1" s="25">
      <c r="A626" s="9" t="n"/>
      <c r="B626" s="9" t="n"/>
    </row>
    <row r="627" ht="14.25" customHeight="1" s="25">
      <c r="A627" s="9" t="n"/>
      <c r="B627" s="9" t="n"/>
    </row>
    <row r="628" ht="14.25" customHeight="1" s="25">
      <c r="A628" s="9" t="n"/>
      <c r="B628" s="9" t="n"/>
    </row>
    <row r="629" ht="14.25" customHeight="1" s="25">
      <c r="A629" s="9" t="n"/>
      <c r="B629" s="9" t="n"/>
    </row>
    <row r="630" ht="14.25" customHeight="1" s="25">
      <c r="A630" s="9" t="n"/>
      <c r="B630" s="9" t="n"/>
    </row>
    <row r="631" ht="14.25" customHeight="1" s="25">
      <c r="A631" s="9" t="n"/>
      <c r="B631" s="9" t="n"/>
    </row>
    <row r="632" ht="14.25" customHeight="1" s="25">
      <c r="A632" s="9" t="n"/>
      <c r="B632" s="9" t="n"/>
    </row>
    <row r="633" ht="14.25" customHeight="1" s="25">
      <c r="A633" s="9" t="n"/>
      <c r="B633" s="9" t="n"/>
    </row>
    <row r="634" ht="14.25" customHeight="1" s="25">
      <c r="A634" s="9" t="n"/>
      <c r="B634" s="9" t="n"/>
    </row>
    <row r="635" ht="14.25" customHeight="1" s="25">
      <c r="A635" s="9" t="n"/>
      <c r="B635" s="9" t="n"/>
    </row>
    <row r="636" ht="14.25" customHeight="1" s="25">
      <c r="A636" s="9" t="n"/>
      <c r="B636" s="9" t="n"/>
    </row>
    <row r="637" ht="14.25" customHeight="1" s="25">
      <c r="A637" s="9" t="n"/>
      <c r="B637" s="9" t="n"/>
    </row>
    <row r="638" ht="14.25" customHeight="1" s="25">
      <c r="A638" s="9" t="n"/>
      <c r="B638" s="9" t="n"/>
    </row>
    <row r="639" ht="14.25" customHeight="1" s="25">
      <c r="A639" s="9" t="n"/>
      <c r="B639" s="9" t="n"/>
    </row>
    <row r="640" ht="14.25" customHeight="1" s="25">
      <c r="A640" s="9" t="n"/>
      <c r="B640" s="9" t="n"/>
    </row>
    <row r="641" ht="14.25" customHeight="1" s="25">
      <c r="A641" s="9" t="n"/>
      <c r="B641" s="9" t="n"/>
    </row>
    <row r="642" ht="14.25" customHeight="1" s="25">
      <c r="A642" s="9" t="n"/>
      <c r="B642" s="9" t="n"/>
    </row>
    <row r="643" ht="14.25" customHeight="1" s="25">
      <c r="A643" s="9" t="n"/>
      <c r="B643" s="9" t="n"/>
    </row>
    <row r="644" ht="14.25" customHeight="1" s="25">
      <c r="A644" s="9" t="n"/>
      <c r="B644" s="9" t="n"/>
    </row>
    <row r="645" ht="14.25" customHeight="1" s="25">
      <c r="A645" s="9" t="n"/>
      <c r="B645" s="9" t="n"/>
    </row>
    <row r="646" ht="14.25" customHeight="1" s="25">
      <c r="A646" s="9" t="n"/>
      <c r="B646" s="9" t="n"/>
    </row>
    <row r="647" ht="14.25" customHeight="1" s="25">
      <c r="A647" s="9" t="n"/>
      <c r="B647" s="9" t="n"/>
    </row>
    <row r="648" ht="14.25" customHeight="1" s="25">
      <c r="A648" s="9" t="n"/>
      <c r="B648" s="9" t="n"/>
    </row>
    <row r="649" ht="14.25" customHeight="1" s="25">
      <c r="A649" s="9" t="n"/>
      <c r="B649" s="9" t="n"/>
    </row>
    <row r="650" ht="14.25" customHeight="1" s="25">
      <c r="A650" s="9" t="n"/>
      <c r="B650" s="9" t="n"/>
    </row>
    <row r="651" ht="14.25" customHeight="1" s="25">
      <c r="A651" s="9" t="n"/>
      <c r="B651" s="9" t="n"/>
    </row>
    <row r="652" ht="14.25" customHeight="1" s="25">
      <c r="A652" s="9" t="n"/>
      <c r="B652" s="9" t="n"/>
    </row>
    <row r="653" ht="14.25" customHeight="1" s="25">
      <c r="A653" s="9" t="n"/>
      <c r="B653" s="9" t="n"/>
    </row>
    <row r="654" ht="14.25" customHeight="1" s="25">
      <c r="A654" s="9" t="n"/>
      <c r="B654" s="9" t="n"/>
    </row>
    <row r="655" ht="14.25" customHeight="1" s="25">
      <c r="A655" s="9" t="n"/>
      <c r="B655" s="9" t="n"/>
    </row>
    <row r="656" ht="14.25" customHeight="1" s="25">
      <c r="A656" s="9" t="n"/>
      <c r="B656" s="9" t="n"/>
    </row>
    <row r="657" ht="14.25" customHeight="1" s="25">
      <c r="A657" s="9" t="n"/>
      <c r="B657" s="9" t="n"/>
    </row>
    <row r="658" ht="14.25" customHeight="1" s="25">
      <c r="A658" s="9" t="n"/>
      <c r="B658" s="9" t="n"/>
    </row>
    <row r="659" ht="14.25" customHeight="1" s="25">
      <c r="A659" s="9" t="n"/>
      <c r="B659" s="9" t="n"/>
    </row>
    <row r="660" ht="14.25" customHeight="1" s="25">
      <c r="A660" s="9" t="n"/>
      <c r="B660" s="9" t="n"/>
    </row>
    <row r="661" ht="14.25" customHeight="1" s="25">
      <c r="A661" s="9" t="n"/>
      <c r="B661" s="9" t="n"/>
    </row>
    <row r="662" ht="14.25" customHeight="1" s="25">
      <c r="A662" s="9" t="n"/>
      <c r="B662" s="9" t="n"/>
    </row>
    <row r="663" ht="14.25" customHeight="1" s="25">
      <c r="A663" s="9" t="n"/>
      <c r="B663" s="9" t="n"/>
    </row>
    <row r="664" ht="14.25" customHeight="1" s="25">
      <c r="A664" s="9" t="n"/>
      <c r="B664" s="9" t="n"/>
    </row>
    <row r="665" ht="14.25" customHeight="1" s="25">
      <c r="A665" s="9" t="n"/>
      <c r="B665" s="9" t="n"/>
    </row>
    <row r="666" ht="14.25" customHeight="1" s="25">
      <c r="A666" s="9" t="n"/>
      <c r="B666" s="9" t="n"/>
    </row>
    <row r="667" ht="14.25" customHeight="1" s="25">
      <c r="A667" s="9" t="n"/>
      <c r="B667" s="9" t="n"/>
    </row>
    <row r="668" ht="14.25" customHeight="1" s="25">
      <c r="A668" s="9" t="n"/>
      <c r="B668" s="9" t="n"/>
    </row>
    <row r="669" ht="14.25" customHeight="1" s="25">
      <c r="A669" s="9" t="n"/>
      <c r="B669" s="9" t="n"/>
    </row>
    <row r="670" ht="14.25" customHeight="1" s="25">
      <c r="A670" s="9" t="n"/>
      <c r="B670" s="9" t="n"/>
    </row>
    <row r="671" ht="14.25" customHeight="1" s="25">
      <c r="A671" s="9" t="n"/>
      <c r="B671" s="9" t="n"/>
    </row>
    <row r="672" ht="14.25" customHeight="1" s="25">
      <c r="A672" s="9" t="n"/>
      <c r="B672" s="9" t="n"/>
    </row>
    <row r="673" ht="14.25" customHeight="1" s="25">
      <c r="A673" s="9" t="n"/>
      <c r="B673" s="9" t="n"/>
    </row>
    <row r="674" ht="14.25" customHeight="1" s="25">
      <c r="A674" s="9" t="n"/>
      <c r="B674" s="9" t="n"/>
    </row>
    <row r="675" ht="14.25" customHeight="1" s="25">
      <c r="A675" s="9" t="n"/>
      <c r="B675" s="9" t="n"/>
    </row>
    <row r="676" ht="14.25" customHeight="1" s="25">
      <c r="A676" s="9" t="n"/>
      <c r="B676" s="9" t="n"/>
    </row>
    <row r="677" ht="14.25" customHeight="1" s="25">
      <c r="A677" s="9" t="n"/>
      <c r="B677" s="9" t="n"/>
    </row>
    <row r="678" ht="14.25" customHeight="1" s="25">
      <c r="A678" s="9" t="n"/>
      <c r="B678" s="9" t="n"/>
    </row>
    <row r="679" ht="14.25" customHeight="1" s="25">
      <c r="A679" s="9" t="n"/>
      <c r="B679" s="9" t="n"/>
    </row>
    <row r="680" ht="14.25" customHeight="1" s="25">
      <c r="A680" s="9" t="n"/>
      <c r="B680" s="9" t="n"/>
    </row>
    <row r="681" ht="14.25" customHeight="1" s="25">
      <c r="A681" s="9" t="n"/>
      <c r="B681" s="9" t="n"/>
    </row>
    <row r="682" ht="14.25" customHeight="1" s="25">
      <c r="A682" s="9" t="n"/>
      <c r="B682" s="9" t="n"/>
    </row>
    <row r="683" ht="14.25" customHeight="1" s="25">
      <c r="A683" s="9" t="n"/>
      <c r="B683" s="9" t="n"/>
    </row>
    <row r="684" ht="14.25" customHeight="1" s="25">
      <c r="A684" s="9" t="n"/>
      <c r="B684" s="9" t="n"/>
    </row>
    <row r="685" ht="14.25" customHeight="1" s="25">
      <c r="A685" s="9" t="n"/>
      <c r="B685" s="9" t="n"/>
    </row>
    <row r="686" ht="14.25" customHeight="1" s="25">
      <c r="A686" s="9" t="n"/>
      <c r="B686" s="9" t="n"/>
    </row>
    <row r="687" ht="14.25" customHeight="1" s="25">
      <c r="A687" s="9" t="n"/>
      <c r="B687" s="9" t="n"/>
    </row>
    <row r="688" ht="14.25" customHeight="1" s="25">
      <c r="A688" s="9" t="n"/>
      <c r="B688" s="9" t="n"/>
    </row>
    <row r="689" ht="14.25" customHeight="1" s="25">
      <c r="A689" s="9" t="n"/>
      <c r="B689" s="9" t="n"/>
    </row>
    <row r="690" ht="14.25" customHeight="1" s="25">
      <c r="A690" s="9" t="n"/>
      <c r="B690" s="9" t="n"/>
    </row>
    <row r="691" ht="14.25" customHeight="1" s="25">
      <c r="A691" s="9" t="n"/>
      <c r="B691" s="9" t="n"/>
    </row>
    <row r="692" ht="14.25" customHeight="1" s="25">
      <c r="A692" s="9" t="n"/>
      <c r="B692" s="9" t="n"/>
    </row>
    <row r="693" ht="14.25" customHeight="1" s="25">
      <c r="A693" s="9" t="n"/>
      <c r="B693" s="9" t="n"/>
    </row>
    <row r="694" ht="14.25" customHeight="1" s="25">
      <c r="A694" s="9" t="n"/>
      <c r="B694" s="9" t="n"/>
    </row>
    <row r="695" ht="14.25" customHeight="1" s="25">
      <c r="A695" s="9" t="n"/>
      <c r="B695" s="9" t="n"/>
    </row>
    <row r="696" ht="14.25" customHeight="1" s="25">
      <c r="A696" s="9" t="n"/>
      <c r="B696" s="9" t="n"/>
    </row>
    <row r="697" ht="14.25" customHeight="1" s="25">
      <c r="A697" s="9" t="n"/>
      <c r="B697" s="9" t="n"/>
    </row>
    <row r="698" ht="14.25" customHeight="1" s="25">
      <c r="A698" s="9" t="n"/>
      <c r="B698" s="9" t="n"/>
    </row>
    <row r="699" ht="14.25" customHeight="1" s="25">
      <c r="A699" s="9" t="n"/>
      <c r="B699" s="9" t="n"/>
    </row>
    <row r="700" ht="14.25" customHeight="1" s="25">
      <c r="A700" s="9" t="n"/>
      <c r="B700" s="9" t="n"/>
    </row>
    <row r="701" ht="14.25" customHeight="1" s="25">
      <c r="A701" s="9" t="n"/>
      <c r="B701" s="9" t="n"/>
    </row>
    <row r="702" ht="14.25" customHeight="1" s="25">
      <c r="A702" s="9" t="n"/>
      <c r="B702" s="9" t="n"/>
    </row>
    <row r="703" ht="14.25" customHeight="1" s="25">
      <c r="A703" s="9" t="n"/>
      <c r="B703" s="9" t="n"/>
    </row>
    <row r="704" ht="14.25" customHeight="1" s="25">
      <c r="A704" s="9" t="n"/>
      <c r="B704" s="9" t="n"/>
    </row>
    <row r="705" ht="14.25" customHeight="1" s="25">
      <c r="A705" s="9" t="n"/>
      <c r="B705" s="9" t="n"/>
    </row>
    <row r="706" ht="14.25" customHeight="1" s="25">
      <c r="A706" s="9" t="n"/>
      <c r="B706" s="9" t="n"/>
    </row>
    <row r="707" ht="14.25" customHeight="1" s="25">
      <c r="A707" s="9" t="n"/>
      <c r="B707" s="9" t="n"/>
    </row>
    <row r="708" ht="14.25" customHeight="1" s="25">
      <c r="A708" s="9" t="n"/>
      <c r="B708" s="9" t="n"/>
    </row>
    <row r="709" ht="14.25" customHeight="1" s="25">
      <c r="A709" s="9" t="n"/>
      <c r="B709" s="9" t="n"/>
    </row>
    <row r="710" ht="14.25" customHeight="1" s="25">
      <c r="A710" s="9" t="n"/>
      <c r="B710" s="9" t="n"/>
    </row>
    <row r="711" ht="14.25" customHeight="1" s="25">
      <c r="A711" s="9" t="n"/>
      <c r="B711" s="9" t="n"/>
    </row>
    <row r="712" ht="14.25" customHeight="1" s="25">
      <c r="A712" s="9" t="n"/>
      <c r="B712" s="9" t="n"/>
    </row>
    <row r="713" ht="14.25" customHeight="1" s="25">
      <c r="A713" s="9" t="n"/>
      <c r="B713" s="9" t="n"/>
    </row>
    <row r="714" ht="14.25" customHeight="1" s="25">
      <c r="A714" s="9" t="n"/>
      <c r="B714" s="9" t="n"/>
    </row>
    <row r="715" ht="14.25" customHeight="1" s="25">
      <c r="A715" s="9" t="n"/>
      <c r="B715" s="9" t="n"/>
    </row>
    <row r="716" ht="14.25" customHeight="1" s="25">
      <c r="A716" s="9" t="n"/>
      <c r="B716" s="9" t="n"/>
    </row>
    <row r="717" ht="14.25" customHeight="1" s="25">
      <c r="A717" s="9" t="n"/>
      <c r="B717" s="9" t="n"/>
    </row>
    <row r="718" ht="14.25" customHeight="1" s="25">
      <c r="A718" s="9" t="n"/>
      <c r="B718" s="9" t="n"/>
    </row>
    <row r="719" ht="14.25" customHeight="1" s="25">
      <c r="A719" s="9" t="n"/>
      <c r="B719" s="9" t="n"/>
    </row>
    <row r="720" ht="14.25" customHeight="1" s="25">
      <c r="A720" s="9" t="n"/>
      <c r="B720" s="9" t="n"/>
    </row>
    <row r="721" ht="14.25" customHeight="1" s="25">
      <c r="A721" s="9" t="n"/>
      <c r="B721" s="9" t="n"/>
    </row>
    <row r="722" ht="14.25" customHeight="1" s="25">
      <c r="A722" s="9" t="n"/>
      <c r="B722" s="9" t="n"/>
    </row>
    <row r="723" ht="14.25" customHeight="1" s="25">
      <c r="A723" s="9" t="n"/>
      <c r="B723" s="9" t="n"/>
    </row>
    <row r="724" ht="14.25" customHeight="1" s="25">
      <c r="A724" s="9" t="n"/>
      <c r="B724" s="9" t="n"/>
    </row>
    <row r="725" ht="14.25" customHeight="1" s="25">
      <c r="A725" s="9" t="n"/>
      <c r="B725" s="9" t="n"/>
    </row>
    <row r="726" ht="14.25" customHeight="1" s="25">
      <c r="A726" s="9" t="n"/>
      <c r="B726" s="9" t="n"/>
    </row>
    <row r="727" ht="14.25" customHeight="1" s="25">
      <c r="A727" s="9" t="n"/>
      <c r="B727" s="9" t="n"/>
    </row>
    <row r="728" ht="14.25" customHeight="1" s="25">
      <c r="A728" s="9" t="n"/>
      <c r="B728" s="9" t="n"/>
    </row>
    <row r="729" ht="14.25" customHeight="1" s="25">
      <c r="A729" s="9" t="n"/>
      <c r="B729" s="9" t="n"/>
    </row>
    <row r="730" ht="14.25" customHeight="1" s="25">
      <c r="A730" s="9" t="n"/>
      <c r="B730" s="9" t="n"/>
    </row>
    <row r="731" ht="14.25" customHeight="1" s="25">
      <c r="A731" s="9" t="n"/>
      <c r="B731" s="9" t="n"/>
    </row>
    <row r="732" ht="14.25" customHeight="1" s="25">
      <c r="A732" s="9" t="n"/>
      <c r="B732" s="9" t="n"/>
    </row>
    <row r="733" ht="14.25" customHeight="1" s="25">
      <c r="A733" s="9" t="n"/>
      <c r="B733" s="9" t="n"/>
    </row>
    <row r="734" ht="14.25" customHeight="1" s="25">
      <c r="A734" s="9" t="n"/>
      <c r="B734" s="9" t="n"/>
    </row>
    <row r="735" ht="14.25" customHeight="1" s="25">
      <c r="A735" s="9" t="n"/>
      <c r="B735" s="9" t="n"/>
    </row>
    <row r="736" ht="14.25" customHeight="1" s="25">
      <c r="A736" s="9" t="n"/>
      <c r="B736" s="9" t="n"/>
    </row>
    <row r="737" ht="14.25" customHeight="1" s="25">
      <c r="A737" s="9" t="n"/>
      <c r="B737" s="9" t="n"/>
    </row>
    <row r="738" ht="14.25" customHeight="1" s="25">
      <c r="A738" s="9" t="n"/>
      <c r="B738" s="9" t="n"/>
    </row>
    <row r="739" ht="14.25" customHeight="1" s="25">
      <c r="A739" s="9" t="n"/>
      <c r="B739" s="9" t="n"/>
    </row>
    <row r="740" ht="14.25" customHeight="1" s="25">
      <c r="A740" s="9" t="n"/>
      <c r="B740" s="9" t="n"/>
    </row>
    <row r="741" ht="14.25" customHeight="1" s="25">
      <c r="A741" s="9" t="n"/>
      <c r="B741" s="9" t="n"/>
    </row>
    <row r="742" ht="14.25" customHeight="1" s="25">
      <c r="A742" s="9" t="n"/>
      <c r="B742" s="9" t="n"/>
    </row>
    <row r="743" ht="14.25" customHeight="1" s="25">
      <c r="A743" s="9" t="n"/>
      <c r="B743" s="9" t="n"/>
    </row>
    <row r="744" ht="14.25" customHeight="1" s="25">
      <c r="A744" s="9" t="n"/>
      <c r="B744" s="9" t="n"/>
    </row>
    <row r="745" ht="14.25" customHeight="1" s="25">
      <c r="A745" s="9" t="n"/>
      <c r="B745" s="9" t="n"/>
    </row>
    <row r="746" ht="14.25" customHeight="1" s="25">
      <c r="A746" s="9" t="n"/>
      <c r="B746" s="9" t="n"/>
    </row>
    <row r="747" ht="14.25" customHeight="1" s="25">
      <c r="A747" s="9" t="n"/>
      <c r="B747" s="9" t="n"/>
    </row>
    <row r="748" ht="14.25" customHeight="1" s="25">
      <c r="A748" s="9" t="n"/>
      <c r="B748" s="9" t="n"/>
    </row>
    <row r="749" ht="14.25" customHeight="1" s="25">
      <c r="A749" s="9" t="n"/>
      <c r="B749" s="9" t="n"/>
    </row>
    <row r="750" ht="14.25" customHeight="1" s="25">
      <c r="A750" s="9" t="n"/>
      <c r="B750" s="9" t="n"/>
    </row>
    <row r="751" ht="14.25" customHeight="1" s="25">
      <c r="A751" s="9" t="n"/>
      <c r="B751" s="9" t="n"/>
    </row>
    <row r="752" ht="14.25" customHeight="1" s="25">
      <c r="A752" s="9" t="n"/>
      <c r="B752" s="9" t="n"/>
    </row>
    <row r="753" ht="14.25" customHeight="1" s="25">
      <c r="A753" s="9" t="n"/>
      <c r="B753" s="9" t="n"/>
    </row>
    <row r="754" ht="14.25" customHeight="1" s="25">
      <c r="A754" s="9" t="n"/>
      <c r="B754" s="9" t="n"/>
    </row>
    <row r="755" ht="14.25" customHeight="1" s="25">
      <c r="A755" s="9" t="n"/>
      <c r="B755" s="9" t="n"/>
    </row>
    <row r="756" ht="14.25" customHeight="1" s="25">
      <c r="A756" s="9" t="n"/>
      <c r="B756" s="9" t="n"/>
    </row>
    <row r="757" ht="14.25" customHeight="1" s="25">
      <c r="A757" s="9" t="n"/>
      <c r="B757" s="9" t="n"/>
    </row>
    <row r="758" ht="14.25" customHeight="1" s="25">
      <c r="A758" s="9" t="n"/>
      <c r="B758" s="9" t="n"/>
    </row>
    <row r="759" ht="14.25" customHeight="1" s="25">
      <c r="A759" s="9" t="n"/>
      <c r="B759" s="9" t="n"/>
    </row>
    <row r="760" ht="14.25" customHeight="1" s="25">
      <c r="A760" s="9" t="n"/>
      <c r="B760" s="9" t="n"/>
    </row>
    <row r="761" ht="14.25" customHeight="1" s="25">
      <c r="A761" s="9" t="n"/>
      <c r="B761" s="9" t="n"/>
    </row>
    <row r="762" ht="14.25" customHeight="1" s="25">
      <c r="A762" s="9" t="n"/>
      <c r="B762" s="9" t="n"/>
    </row>
    <row r="763" ht="14.25" customHeight="1" s="25">
      <c r="A763" s="9" t="n"/>
      <c r="B763" s="9" t="n"/>
    </row>
    <row r="764" ht="14.25" customHeight="1" s="25">
      <c r="A764" s="9" t="n"/>
      <c r="B764" s="9" t="n"/>
    </row>
    <row r="765" ht="14.25" customHeight="1" s="25">
      <c r="A765" s="9" t="n"/>
      <c r="B765" s="9" t="n"/>
    </row>
    <row r="766" ht="14.25" customHeight="1" s="25">
      <c r="A766" s="9" t="n"/>
      <c r="B766" s="9" t="n"/>
    </row>
    <row r="767" ht="14.25" customHeight="1" s="25">
      <c r="A767" s="9" t="n"/>
      <c r="B767" s="9" t="n"/>
    </row>
    <row r="768" ht="14.25" customHeight="1" s="25">
      <c r="A768" s="9" t="n"/>
      <c r="B768" s="9" t="n"/>
    </row>
    <row r="769" ht="14.25" customHeight="1" s="25">
      <c r="A769" s="9" t="n"/>
      <c r="B769" s="9" t="n"/>
    </row>
    <row r="770" ht="14.25" customHeight="1" s="25">
      <c r="A770" s="9" t="n"/>
      <c r="B770" s="9" t="n"/>
    </row>
    <row r="771" ht="14.25" customHeight="1" s="25">
      <c r="A771" s="9" t="n"/>
      <c r="B771" s="9" t="n"/>
    </row>
    <row r="772" ht="14.25" customHeight="1" s="25">
      <c r="A772" s="9" t="n"/>
      <c r="B772" s="9" t="n"/>
    </row>
    <row r="773" ht="14.25" customHeight="1" s="25">
      <c r="A773" s="9" t="n"/>
      <c r="B773" s="9" t="n"/>
    </row>
    <row r="774" ht="14.25" customHeight="1" s="25">
      <c r="A774" s="9" t="n"/>
      <c r="B774" s="9" t="n"/>
    </row>
    <row r="775" ht="14.25" customHeight="1" s="25">
      <c r="A775" s="9" t="n"/>
      <c r="B775" s="9" t="n"/>
    </row>
    <row r="776" ht="14.25" customHeight="1" s="25">
      <c r="A776" s="9" t="n"/>
      <c r="B776" s="9" t="n"/>
    </row>
    <row r="777" ht="14.25" customHeight="1" s="25">
      <c r="A777" s="9" t="n"/>
      <c r="B777" s="9" t="n"/>
    </row>
    <row r="778" ht="14.25" customHeight="1" s="25">
      <c r="A778" s="9" t="n"/>
      <c r="B778" s="9" t="n"/>
    </row>
    <row r="779" ht="14.25" customHeight="1" s="25">
      <c r="A779" s="9" t="n"/>
      <c r="B779" s="9" t="n"/>
    </row>
    <row r="780" ht="14.25" customHeight="1" s="25">
      <c r="A780" s="9" t="n"/>
      <c r="B780" s="9" t="n"/>
    </row>
    <row r="781" ht="14.25" customHeight="1" s="25">
      <c r="A781" s="9" t="n"/>
      <c r="B781" s="9" t="n"/>
    </row>
    <row r="782" ht="14.25" customHeight="1" s="25">
      <c r="A782" s="9" t="n"/>
      <c r="B782" s="9" t="n"/>
    </row>
    <row r="783" ht="14.25" customHeight="1" s="25">
      <c r="A783" s="9" t="n"/>
      <c r="B783" s="9" t="n"/>
    </row>
    <row r="784" ht="14.25" customHeight="1" s="25">
      <c r="A784" s="9" t="n"/>
      <c r="B784" s="9" t="n"/>
    </row>
    <row r="785" ht="14.25" customHeight="1" s="25">
      <c r="A785" s="9" t="n"/>
      <c r="B785" s="9" t="n"/>
    </row>
    <row r="786" ht="14.25" customHeight="1" s="25">
      <c r="A786" s="9" t="n"/>
      <c r="B786" s="9" t="n"/>
    </row>
    <row r="787" ht="14.25" customHeight="1" s="25">
      <c r="A787" s="9" t="n"/>
      <c r="B787" s="9" t="n"/>
    </row>
    <row r="788" ht="14.25" customHeight="1" s="25">
      <c r="A788" s="9" t="n"/>
      <c r="B788" s="9" t="n"/>
    </row>
    <row r="789" ht="14.25" customHeight="1" s="25">
      <c r="A789" s="9" t="n"/>
      <c r="B789" s="9" t="n"/>
    </row>
    <row r="790" ht="14.25" customHeight="1" s="25">
      <c r="A790" s="9" t="n"/>
      <c r="B790" s="9" t="n"/>
    </row>
    <row r="791" ht="14.25" customHeight="1" s="25">
      <c r="A791" s="9" t="n"/>
      <c r="B791" s="9" t="n"/>
    </row>
    <row r="792" ht="14.25" customHeight="1" s="25">
      <c r="A792" s="9" t="n"/>
      <c r="B792" s="9" t="n"/>
    </row>
    <row r="793" ht="14.25" customHeight="1" s="25">
      <c r="A793" s="9" t="n"/>
      <c r="B793" s="9" t="n"/>
    </row>
    <row r="794" ht="14.25" customHeight="1" s="25">
      <c r="A794" s="9" t="n"/>
      <c r="B794" s="9" t="n"/>
    </row>
    <row r="795" ht="14.25" customHeight="1" s="25">
      <c r="A795" s="9" t="n"/>
      <c r="B795" s="9" t="n"/>
    </row>
    <row r="796" ht="14.25" customHeight="1" s="25">
      <c r="A796" s="9" t="n"/>
      <c r="B796" s="9" t="n"/>
    </row>
    <row r="797" ht="14.25" customHeight="1" s="25">
      <c r="A797" s="9" t="n"/>
      <c r="B797" s="9" t="n"/>
    </row>
    <row r="798" ht="14.25" customHeight="1" s="25">
      <c r="A798" s="9" t="n"/>
      <c r="B798" s="9" t="n"/>
    </row>
    <row r="799" ht="14.25" customHeight="1" s="25">
      <c r="A799" s="9" t="n"/>
      <c r="B799" s="9" t="n"/>
    </row>
    <row r="800" ht="14.25" customHeight="1" s="25">
      <c r="A800" s="9" t="n"/>
      <c r="B800" s="9" t="n"/>
    </row>
    <row r="801" ht="14.25" customHeight="1" s="25">
      <c r="A801" s="9" t="n"/>
      <c r="B801" s="9" t="n"/>
    </row>
    <row r="802" ht="14.25" customHeight="1" s="25">
      <c r="A802" s="9" t="n"/>
      <c r="B802" s="9" t="n"/>
    </row>
    <row r="803" ht="14.25" customHeight="1" s="25">
      <c r="A803" s="9" t="n"/>
      <c r="B803" s="9" t="n"/>
    </row>
    <row r="804" ht="14.25" customHeight="1" s="25">
      <c r="A804" s="9" t="n"/>
      <c r="B804" s="9" t="n"/>
    </row>
    <row r="805" ht="14.25" customHeight="1" s="25">
      <c r="A805" s="9" t="n"/>
      <c r="B805" s="9" t="n"/>
    </row>
    <row r="806" ht="14.25" customHeight="1" s="25">
      <c r="A806" s="9" t="n"/>
      <c r="B806" s="9" t="n"/>
    </row>
    <row r="807" ht="14.25" customHeight="1" s="25">
      <c r="A807" s="9" t="n"/>
      <c r="B807" s="9" t="n"/>
    </row>
    <row r="808" ht="14.25" customHeight="1" s="25">
      <c r="A808" s="9" t="n"/>
      <c r="B808" s="9" t="n"/>
    </row>
    <row r="809" ht="14.25" customHeight="1" s="25">
      <c r="A809" s="9" t="n"/>
      <c r="B809" s="9" t="n"/>
    </row>
    <row r="810" ht="14.25" customHeight="1" s="25">
      <c r="A810" s="9" t="n"/>
      <c r="B810" s="9" t="n"/>
    </row>
    <row r="811" ht="14.25" customHeight="1" s="25">
      <c r="A811" s="9" t="n"/>
      <c r="B811" s="9" t="n"/>
    </row>
    <row r="812" ht="14.25" customHeight="1" s="25">
      <c r="A812" s="9" t="n"/>
      <c r="B812" s="9" t="n"/>
    </row>
    <row r="813" ht="14.25" customHeight="1" s="25">
      <c r="A813" s="9" t="n"/>
      <c r="B813" s="9" t="n"/>
    </row>
    <row r="814" ht="14.25" customHeight="1" s="25">
      <c r="A814" s="9" t="n"/>
      <c r="B814" s="9" t="n"/>
    </row>
    <row r="815" ht="14.25" customHeight="1" s="25">
      <c r="A815" s="9" t="n"/>
      <c r="B815" s="9" t="n"/>
    </row>
    <row r="816" ht="14.25" customHeight="1" s="25">
      <c r="A816" s="9" t="n"/>
      <c r="B816" s="9" t="n"/>
    </row>
    <row r="817" ht="14.25" customHeight="1" s="25">
      <c r="A817" s="9" t="n"/>
      <c r="B817" s="9" t="n"/>
    </row>
    <row r="818" ht="14.25" customHeight="1" s="25">
      <c r="A818" s="9" t="n"/>
      <c r="B818" s="9" t="n"/>
    </row>
    <row r="819" ht="14.25" customHeight="1" s="25">
      <c r="A819" s="9" t="n"/>
      <c r="B819" s="9" t="n"/>
    </row>
    <row r="820" ht="14.25" customHeight="1" s="25">
      <c r="A820" s="9" t="n"/>
      <c r="B820" s="9" t="n"/>
    </row>
    <row r="821" ht="14.25" customHeight="1" s="25">
      <c r="A821" s="9" t="n"/>
      <c r="B821" s="9" t="n"/>
    </row>
    <row r="822" ht="14.25" customHeight="1" s="25">
      <c r="A822" s="9" t="n"/>
      <c r="B822" s="9" t="n"/>
    </row>
    <row r="823" ht="14.25" customHeight="1" s="25">
      <c r="A823" s="9" t="n"/>
      <c r="B823" s="9" t="n"/>
    </row>
    <row r="824" ht="14.25" customHeight="1" s="25">
      <c r="A824" s="9" t="n"/>
      <c r="B824" s="9" t="n"/>
    </row>
    <row r="825" ht="14.25" customHeight="1" s="25">
      <c r="A825" s="9" t="n"/>
      <c r="B825" s="9" t="n"/>
    </row>
    <row r="826" ht="14.25" customHeight="1" s="25">
      <c r="A826" s="9" t="n"/>
      <c r="B826" s="9" t="n"/>
    </row>
    <row r="827" ht="14.25" customHeight="1" s="25">
      <c r="A827" s="9" t="n"/>
      <c r="B827" s="9" t="n"/>
    </row>
    <row r="828" ht="14.25" customHeight="1" s="25">
      <c r="A828" s="9" t="n"/>
      <c r="B828" s="9" t="n"/>
    </row>
    <row r="829" ht="14.25" customHeight="1" s="25">
      <c r="A829" s="9" t="n"/>
      <c r="B829" s="9" t="n"/>
    </row>
    <row r="830" ht="14.25" customHeight="1" s="25">
      <c r="A830" s="9" t="n"/>
      <c r="B830" s="9" t="n"/>
    </row>
    <row r="831" ht="14.25" customHeight="1" s="25">
      <c r="A831" s="9" t="n"/>
      <c r="B831" s="9" t="n"/>
    </row>
    <row r="832" ht="14.25" customHeight="1" s="25">
      <c r="A832" s="9" t="n"/>
      <c r="B832" s="9" t="n"/>
    </row>
    <row r="833" ht="14.25" customHeight="1" s="25">
      <c r="A833" s="9" t="n"/>
      <c r="B833" s="9" t="n"/>
    </row>
    <row r="834" ht="14.25" customHeight="1" s="25">
      <c r="A834" s="9" t="n"/>
      <c r="B834" s="9" t="n"/>
    </row>
    <row r="835" ht="14.25" customHeight="1" s="25">
      <c r="A835" s="9" t="n"/>
      <c r="B835" s="9" t="n"/>
    </row>
    <row r="836" ht="14.25" customHeight="1" s="25">
      <c r="A836" s="9" t="n"/>
      <c r="B836" s="9" t="n"/>
    </row>
    <row r="837" ht="14.25" customHeight="1" s="25">
      <c r="A837" s="9" t="n"/>
      <c r="B837" s="9" t="n"/>
    </row>
    <row r="838" ht="14.25" customHeight="1" s="25">
      <c r="A838" s="9" t="n"/>
      <c r="B838" s="9" t="n"/>
    </row>
    <row r="839" ht="14.25" customHeight="1" s="25">
      <c r="A839" s="9" t="n"/>
      <c r="B839" s="9" t="n"/>
    </row>
    <row r="840" ht="14.25" customHeight="1" s="25">
      <c r="A840" s="9" t="n"/>
      <c r="B840" s="9" t="n"/>
    </row>
    <row r="841" ht="14.25" customHeight="1" s="25">
      <c r="A841" s="9" t="n"/>
      <c r="B841" s="9" t="n"/>
    </row>
    <row r="842" ht="14.25" customHeight="1" s="25">
      <c r="A842" s="9" t="n"/>
      <c r="B842" s="9" t="n"/>
    </row>
    <row r="843" ht="14.25" customHeight="1" s="25">
      <c r="A843" s="9" t="n"/>
      <c r="B843" s="9" t="n"/>
    </row>
    <row r="844" ht="14.25" customHeight="1" s="25">
      <c r="A844" s="9" t="n"/>
      <c r="B844" s="9" t="n"/>
    </row>
    <row r="845" ht="14.25" customHeight="1" s="25">
      <c r="A845" s="9" t="n"/>
      <c r="B845" s="9" t="n"/>
    </row>
    <row r="846" ht="14.25" customHeight="1" s="25">
      <c r="A846" s="9" t="n"/>
      <c r="B846" s="9" t="n"/>
    </row>
    <row r="847" ht="14.25" customHeight="1" s="25">
      <c r="A847" s="9" t="n"/>
      <c r="B847" s="9" t="n"/>
    </row>
    <row r="848" ht="14.25" customHeight="1" s="25">
      <c r="A848" s="9" t="n"/>
      <c r="B848" s="9" t="n"/>
    </row>
    <row r="849" ht="14.25" customHeight="1" s="25">
      <c r="A849" s="9" t="n"/>
      <c r="B849" s="9" t="n"/>
    </row>
    <row r="850" ht="14.25" customHeight="1" s="25">
      <c r="A850" s="9" t="n"/>
      <c r="B850" s="9" t="n"/>
    </row>
    <row r="851" ht="14.25" customHeight="1" s="25">
      <c r="A851" s="9" t="n"/>
      <c r="B851" s="9" t="n"/>
    </row>
    <row r="852" ht="14.25" customHeight="1" s="25">
      <c r="A852" s="9" t="n"/>
      <c r="B852" s="9" t="n"/>
    </row>
    <row r="853" ht="14.25" customHeight="1" s="25">
      <c r="A853" s="9" t="n"/>
      <c r="B853" s="9" t="n"/>
    </row>
    <row r="854" ht="14.25" customHeight="1" s="25">
      <c r="A854" s="9" t="n"/>
      <c r="B854" s="9" t="n"/>
    </row>
    <row r="855" ht="14.25" customHeight="1" s="25">
      <c r="A855" s="9" t="n"/>
      <c r="B855" s="9" t="n"/>
    </row>
    <row r="856" ht="14.25" customHeight="1" s="25">
      <c r="A856" s="9" t="n"/>
      <c r="B856" s="9" t="n"/>
    </row>
    <row r="857" ht="14.25" customHeight="1" s="25">
      <c r="A857" s="9" t="n"/>
      <c r="B857" s="9" t="n"/>
    </row>
    <row r="858" ht="14.25" customHeight="1" s="25">
      <c r="A858" s="9" t="n"/>
      <c r="B858" s="9" t="n"/>
    </row>
    <row r="859" ht="14.25" customHeight="1" s="25">
      <c r="A859" s="9" t="n"/>
      <c r="B859" s="9" t="n"/>
    </row>
    <row r="860" ht="14.25" customHeight="1" s="25">
      <c r="A860" s="9" t="n"/>
      <c r="B860" s="9" t="n"/>
    </row>
    <row r="861" ht="14.25" customHeight="1" s="25">
      <c r="A861" s="9" t="n"/>
      <c r="B861" s="9" t="n"/>
    </row>
    <row r="862" ht="14.25" customHeight="1" s="25">
      <c r="A862" s="9" t="n"/>
      <c r="B862" s="9" t="n"/>
    </row>
    <row r="863" ht="14.25" customHeight="1" s="25">
      <c r="A863" s="9" t="n"/>
      <c r="B863" s="9" t="n"/>
    </row>
    <row r="864" ht="14.25" customHeight="1" s="25">
      <c r="A864" s="9" t="n"/>
      <c r="B864" s="9" t="n"/>
    </row>
    <row r="865" ht="14.25" customHeight="1" s="25">
      <c r="A865" s="9" t="n"/>
      <c r="B865" s="9" t="n"/>
    </row>
    <row r="866" ht="14.25" customHeight="1" s="25">
      <c r="A866" s="9" t="n"/>
      <c r="B866" s="9" t="n"/>
    </row>
    <row r="867" ht="14.25" customHeight="1" s="25">
      <c r="A867" s="9" t="n"/>
      <c r="B867" s="9" t="n"/>
    </row>
    <row r="868" ht="14.25" customHeight="1" s="25">
      <c r="A868" s="9" t="n"/>
      <c r="B868" s="9" t="n"/>
    </row>
    <row r="869" ht="14.25" customHeight="1" s="25">
      <c r="A869" s="9" t="n"/>
      <c r="B869" s="9" t="n"/>
    </row>
    <row r="870" ht="14.25" customHeight="1" s="25">
      <c r="A870" s="9" t="n"/>
      <c r="B870" s="9" t="n"/>
    </row>
    <row r="871" ht="14.25" customHeight="1" s="25">
      <c r="A871" s="9" t="n"/>
      <c r="B871" s="9" t="n"/>
    </row>
    <row r="872" ht="14.25" customHeight="1" s="25">
      <c r="A872" s="9" t="n"/>
      <c r="B872" s="9" t="n"/>
    </row>
    <row r="873" ht="14.25" customHeight="1" s="25">
      <c r="A873" s="9" t="n"/>
      <c r="B873" s="9" t="n"/>
    </row>
    <row r="874" ht="14.25" customHeight="1" s="25">
      <c r="A874" s="9" t="n"/>
      <c r="B874" s="9" t="n"/>
    </row>
    <row r="875" ht="14.25" customHeight="1" s="25">
      <c r="A875" s="9" t="n"/>
      <c r="B875" s="9" t="n"/>
    </row>
    <row r="876" ht="14.25" customHeight="1" s="25">
      <c r="A876" s="9" t="n"/>
      <c r="B876" s="9" t="n"/>
    </row>
    <row r="877" ht="14.25" customHeight="1" s="25">
      <c r="A877" s="9" t="n"/>
      <c r="B877" s="9" t="n"/>
    </row>
    <row r="878" ht="14.25" customHeight="1" s="25">
      <c r="A878" s="9" t="n"/>
      <c r="B878" s="9" t="n"/>
    </row>
    <row r="879" ht="14.25" customHeight="1" s="25">
      <c r="A879" s="9" t="n"/>
      <c r="B879" s="9" t="n"/>
    </row>
    <row r="880" ht="14.25" customHeight="1" s="25">
      <c r="A880" s="9" t="n"/>
      <c r="B880" s="9" t="n"/>
    </row>
    <row r="881" ht="14.25" customHeight="1" s="25">
      <c r="A881" s="9" t="n"/>
      <c r="B881" s="9" t="n"/>
    </row>
    <row r="882" ht="14.25" customHeight="1" s="25">
      <c r="A882" s="9" t="n"/>
      <c r="B882" s="9" t="n"/>
    </row>
    <row r="883" ht="14.25" customHeight="1" s="25">
      <c r="A883" s="9" t="n"/>
      <c r="B883" s="9" t="n"/>
    </row>
    <row r="884" ht="14.25" customHeight="1" s="25">
      <c r="A884" s="9" t="n"/>
      <c r="B884" s="9" t="n"/>
    </row>
    <row r="885" ht="14.25" customHeight="1" s="25">
      <c r="A885" s="9" t="n"/>
      <c r="B885" s="9" t="n"/>
    </row>
    <row r="886" ht="14.25" customHeight="1" s="25">
      <c r="A886" s="9" t="n"/>
      <c r="B886" s="9" t="n"/>
    </row>
    <row r="887" ht="14.25" customHeight="1" s="25">
      <c r="A887" s="9" t="n"/>
      <c r="B887" s="9" t="n"/>
    </row>
    <row r="888" ht="14.25" customHeight="1" s="25">
      <c r="A888" s="9" t="n"/>
      <c r="B888" s="9" t="n"/>
    </row>
    <row r="889" ht="14.25" customHeight="1" s="25">
      <c r="A889" s="9" t="n"/>
      <c r="B889" s="9" t="n"/>
    </row>
    <row r="890" ht="14.25" customHeight="1" s="25">
      <c r="A890" s="9" t="n"/>
      <c r="B890" s="9" t="n"/>
    </row>
    <row r="891" ht="14.25" customHeight="1" s="25">
      <c r="A891" s="9" t="n"/>
      <c r="B891" s="9" t="n"/>
    </row>
    <row r="892" ht="14.25" customHeight="1" s="25">
      <c r="A892" s="9" t="n"/>
      <c r="B892" s="9" t="n"/>
    </row>
    <row r="893" ht="14.25" customHeight="1" s="25">
      <c r="A893" s="9" t="n"/>
      <c r="B893" s="9" t="n"/>
    </row>
    <row r="894" ht="14.25" customHeight="1" s="25">
      <c r="A894" s="9" t="n"/>
      <c r="B894" s="9" t="n"/>
    </row>
    <row r="895" ht="14.25" customHeight="1" s="25">
      <c r="A895" s="9" t="n"/>
      <c r="B895" s="9" t="n"/>
    </row>
    <row r="896" ht="14.25" customHeight="1" s="25">
      <c r="A896" s="9" t="n"/>
      <c r="B896" s="9" t="n"/>
    </row>
    <row r="897" ht="14.25" customHeight="1" s="25">
      <c r="A897" s="9" t="n"/>
      <c r="B897" s="9" t="n"/>
    </row>
    <row r="898" ht="14.25" customHeight="1" s="25">
      <c r="A898" s="9" t="n"/>
      <c r="B898" s="9" t="n"/>
    </row>
    <row r="899" ht="14.25" customHeight="1" s="25">
      <c r="A899" s="9" t="n"/>
      <c r="B899" s="9" t="n"/>
    </row>
    <row r="900" ht="14.25" customHeight="1" s="25">
      <c r="A900" s="9" t="n"/>
      <c r="B900" s="9" t="n"/>
    </row>
    <row r="901" ht="14.25" customHeight="1" s="25">
      <c r="A901" s="9" t="n"/>
      <c r="B901" s="9" t="n"/>
    </row>
    <row r="902" ht="14.25" customHeight="1" s="25">
      <c r="A902" s="9" t="n"/>
      <c r="B902" s="9" t="n"/>
    </row>
    <row r="903" ht="14.25" customHeight="1" s="25">
      <c r="A903" s="9" t="n"/>
      <c r="B903" s="9" t="n"/>
    </row>
    <row r="904" ht="14.25" customHeight="1" s="25">
      <c r="A904" s="9" t="n"/>
      <c r="B904" s="9" t="n"/>
    </row>
    <row r="905" ht="14.25" customHeight="1" s="25">
      <c r="A905" s="9" t="n"/>
      <c r="B905" s="9" t="n"/>
    </row>
    <row r="906" ht="14.25" customHeight="1" s="25">
      <c r="A906" s="9" t="n"/>
      <c r="B906" s="9" t="n"/>
    </row>
    <row r="907" ht="14.25" customHeight="1" s="25">
      <c r="A907" s="9" t="n"/>
      <c r="B907" s="9" t="n"/>
    </row>
    <row r="908" ht="14.25" customHeight="1" s="25">
      <c r="A908" s="9" t="n"/>
      <c r="B908" s="9" t="n"/>
    </row>
    <row r="909" ht="14.25" customHeight="1" s="25">
      <c r="A909" s="9" t="n"/>
      <c r="B909" s="9" t="n"/>
    </row>
    <row r="910" ht="14.25" customHeight="1" s="25">
      <c r="A910" s="9" t="n"/>
      <c r="B910" s="9" t="n"/>
    </row>
    <row r="911" ht="14.25" customHeight="1" s="25">
      <c r="A911" s="9" t="n"/>
      <c r="B911" s="9" t="n"/>
    </row>
    <row r="912" ht="14.25" customHeight="1" s="25">
      <c r="A912" s="9" t="n"/>
      <c r="B912" s="9" t="n"/>
    </row>
    <row r="913" ht="14.25" customHeight="1" s="25">
      <c r="A913" s="9" t="n"/>
      <c r="B913" s="9" t="n"/>
    </row>
    <row r="914" ht="14.25" customHeight="1" s="25">
      <c r="A914" s="9" t="n"/>
      <c r="B914" s="9" t="n"/>
    </row>
    <row r="915" ht="14.25" customHeight="1" s="25">
      <c r="A915" s="9" t="n"/>
      <c r="B915" s="9" t="n"/>
    </row>
    <row r="916" ht="14.25" customHeight="1" s="25">
      <c r="A916" s="9" t="n"/>
      <c r="B916" s="9" t="n"/>
    </row>
    <row r="917" ht="14.25" customHeight="1" s="25">
      <c r="A917" s="9" t="n"/>
      <c r="B917" s="9" t="n"/>
    </row>
    <row r="918" ht="14.25" customHeight="1" s="25">
      <c r="A918" s="9" t="n"/>
      <c r="B918" s="9" t="n"/>
    </row>
    <row r="919" ht="14.25" customHeight="1" s="25">
      <c r="A919" s="9" t="n"/>
      <c r="B919" s="9" t="n"/>
    </row>
    <row r="920" ht="14.25" customHeight="1" s="25">
      <c r="A920" s="9" t="n"/>
      <c r="B920" s="9" t="n"/>
    </row>
    <row r="921" ht="14.25" customHeight="1" s="25">
      <c r="A921" s="9" t="n"/>
      <c r="B921" s="9" t="n"/>
    </row>
    <row r="922" ht="14.25" customHeight="1" s="25">
      <c r="A922" s="9" t="n"/>
      <c r="B922" s="9" t="n"/>
    </row>
    <row r="923" ht="14.25" customHeight="1" s="25">
      <c r="A923" s="9" t="n"/>
      <c r="B923" s="9" t="n"/>
    </row>
    <row r="924" ht="14.25" customHeight="1" s="25">
      <c r="A924" s="9" t="n"/>
      <c r="B924" s="9" t="n"/>
    </row>
    <row r="925" ht="14.25" customHeight="1" s="25">
      <c r="A925" s="9" t="n"/>
      <c r="B925" s="9" t="n"/>
    </row>
    <row r="926" ht="14.25" customHeight="1" s="25">
      <c r="A926" s="9" t="n"/>
      <c r="B926" s="9" t="n"/>
    </row>
    <row r="927" ht="14.25" customHeight="1" s="25">
      <c r="A927" s="9" t="n"/>
      <c r="B927" s="9" t="n"/>
    </row>
    <row r="928" ht="14.25" customHeight="1" s="25">
      <c r="A928" s="9" t="n"/>
      <c r="B928" s="9" t="n"/>
    </row>
    <row r="929" ht="14.25" customHeight="1" s="25">
      <c r="A929" s="9" t="n"/>
      <c r="B929" s="9" t="n"/>
    </row>
    <row r="930" ht="14.25" customHeight="1" s="25">
      <c r="A930" s="9" t="n"/>
      <c r="B930" s="9" t="n"/>
    </row>
    <row r="931" ht="14.25" customHeight="1" s="25">
      <c r="A931" s="9" t="n"/>
      <c r="B931" s="9" t="n"/>
    </row>
    <row r="932" ht="14.25" customHeight="1" s="25">
      <c r="A932" s="9" t="n"/>
      <c r="B932" s="9" t="n"/>
    </row>
    <row r="933" ht="14.25" customHeight="1" s="25">
      <c r="A933" s="9" t="n"/>
      <c r="B933" s="9" t="n"/>
    </row>
    <row r="934" ht="14.25" customHeight="1" s="25">
      <c r="A934" s="9" t="n"/>
      <c r="B934" s="9" t="n"/>
    </row>
    <row r="935" ht="14.25" customHeight="1" s="25">
      <c r="A935" s="9" t="n"/>
      <c r="B935" s="9" t="n"/>
    </row>
    <row r="936" ht="14.25" customHeight="1" s="25">
      <c r="A936" s="9" t="n"/>
      <c r="B936" s="9" t="n"/>
    </row>
    <row r="937" ht="14.25" customHeight="1" s="25">
      <c r="A937" s="9" t="n"/>
      <c r="B937" s="9" t="n"/>
    </row>
    <row r="938" ht="14.25" customHeight="1" s="25">
      <c r="A938" s="9" t="n"/>
      <c r="B938" s="9" t="n"/>
    </row>
    <row r="939" ht="14.25" customHeight="1" s="25">
      <c r="A939" s="9" t="n"/>
      <c r="B939" s="9" t="n"/>
    </row>
    <row r="940" ht="14.25" customHeight="1" s="25">
      <c r="A940" s="9" t="n"/>
      <c r="B940" s="9" t="n"/>
    </row>
    <row r="941" ht="14.25" customHeight="1" s="25">
      <c r="A941" s="9" t="n"/>
      <c r="B941" s="9" t="n"/>
    </row>
    <row r="942" ht="14.25" customHeight="1" s="25">
      <c r="A942" s="9" t="n"/>
      <c r="B942" s="9" t="n"/>
    </row>
    <row r="943" ht="14.25" customHeight="1" s="25">
      <c r="A943" s="9" t="n"/>
      <c r="B943" s="9" t="n"/>
    </row>
    <row r="944" ht="14.25" customHeight="1" s="25">
      <c r="A944" s="9" t="n"/>
      <c r="B944" s="9" t="n"/>
    </row>
    <row r="945" ht="14.25" customHeight="1" s="25">
      <c r="A945" s="9" t="n"/>
      <c r="B945" s="9" t="n"/>
    </row>
    <row r="946" ht="14.25" customHeight="1" s="25">
      <c r="A946" s="9" t="n"/>
      <c r="B946" s="9" t="n"/>
    </row>
    <row r="947" ht="14.25" customHeight="1" s="25">
      <c r="A947" s="9" t="n"/>
      <c r="B947" s="9" t="n"/>
    </row>
    <row r="948" ht="14.25" customHeight="1" s="25">
      <c r="A948" s="9" t="n"/>
      <c r="B948" s="9" t="n"/>
    </row>
    <row r="949" ht="14.25" customHeight="1" s="25">
      <c r="A949" s="9" t="n"/>
      <c r="B949" s="9" t="n"/>
    </row>
    <row r="950" ht="14.25" customHeight="1" s="25">
      <c r="A950" s="9" t="n"/>
      <c r="B950" s="9" t="n"/>
    </row>
    <row r="951" ht="14.25" customHeight="1" s="25">
      <c r="A951" s="9" t="n"/>
      <c r="B951" s="9" t="n"/>
    </row>
    <row r="952" ht="14.25" customHeight="1" s="25">
      <c r="A952" s="9" t="n"/>
      <c r="B952" s="9" t="n"/>
    </row>
    <row r="953" ht="14.25" customHeight="1" s="25">
      <c r="A953" s="9" t="n"/>
      <c r="B953" s="9" t="n"/>
    </row>
    <row r="954" ht="14.25" customHeight="1" s="25">
      <c r="A954" s="9" t="n"/>
      <c r="B954" s="9" t="n"/>
    </row>
    <row r="955" ht="14.25" customHeight="1" s="25">
      <c r="A955" s="9" t="n"/>
      <c r="B955" s="9" t="n"/>
    </row>
    <row r="956" ht="14.25" customHeight="1" s="25">
      <c r="A956" s="9" t="n"/>
      <c r="B956" s="9" t="n"/>
    </row>
    <row r="957" ht="14.25" customHeight="1" s="25">
      <c r="A957" s="9" t="n"/>
      <c r="B957" s="9" t="n"/>
    </row>
    <row r="958" ht="14.25" customHeight="1" s="25">
      <c r="A958" s="9" t="n"/>
      <c r="B958" s="9" t="n"/>
    </row>
    <row r="959" ht="14.25" customHeight="1" s="25">
      <c r="A959" s="9" t="n"/>
      <c r="B959" s="9" t="n"/>
    </row>
    <row r="960" ht="14.25" customHeight="1" s="25">
      <c r="A960" s="9" t="n"/>
      <c r="B960" s="9" t="n"/>
    </row>
    <row r="961" ht="14.25" customHeight="1" s="25">
      <c r="A961" s="9" t="n"/>
      <c r="B961" s="9" t="n"/>
    </row>
    <row r="962" ht="14.25" customHeight="1" s="25">
      <c r="A962" s="9" t="n"/>
      <c r="B962" s="9" t="n"/>
    </row>
    <row r="963" ht="14.25" customHeight="1" s="25">
      <c r="A963" s="9" t="n"/>
      <c r="B963" s="9" t="n"/>
    </row>
    <row r="964" ht="14.25" customHeight="1" s="25">
      <c r="A964" s="9" t="n"/>
      <c r="B964" s="9" t="n"/>
    </row>
    <row r="965" ht="14.25" customHeight="1" s="25">
      <c r="A965" s="9" t="n"/>
      <c r="B965" s="9" t="n"/>
    </row>
    <row r="966" ht="14.25" customHeight="1" s="25">
      <c r="A966" s="9" t="n"/>
      <c r="B966" s="9" t="n"/>
    </row>
    <row r="967" ht="14.25" customHeight="1" s="25">
      <c r="A967" s="9" t="n"/>
      <c r="B967" s="9" t="n"/>
    </row>
    <row r="968" ht="14.25" customHeight="1" s="25">
      <c r="A968" s="9" t="n"/>
      <c r="B968" s="9" t="n"/>
    </row>
    <row r="969" ht="14.25" customHeight="1" s="25">
      <c r="A969" s="9" t="n"/>
      <c r="B969" s="9" t="n"/>
    </row>
    <row r="970" ht="14.25" customHeight="1" s="25">
      <c r="A970" s="9" t="n"/>
      <c r="B970" s="9" t="n"/>
    </row>
    <row r="971" ht="14.25" customHeight="1" s="25">
      <c r="A971" s="9" t="n"/>
      <c r="B971" s="9" t="n"/>
    </row>
    <row r="972" ht="14.25" customHeight="1" s="25">
      <c r="A972" s="9" t="n"/>
      <c r="B972" s="9" t="n"/>
    </row>
    <row r="973" ht="14.25" customHeight="1" s="25">
      <c r="A973" s="9" t="n"/>
      <c r="B973" s="9" t="n"/>
    </row>
    <row r="974" ht="14.25" customHeight="1" s="25">
      <c r="A974" s="9" t="n"/>
      <c r="B974" s="9" t="n"/>
    </row>
    <row r="975" ht="14.25" customHeight="1" s="25">
      <c r="A975" s="9" t="n"/>
      <c r="B975" s="9" t="n"/>
    </row>
    <row r="976" ht="14.25" customHeight="1" s="25">
      <c r="A976" s="9" t="n"/>
      <c r="B976" s="9" t="n"/>
    </row>
    <row r="977" ht="14.25" customHeight="1" s="25">
      <c r="A977" s="9" t="n"/>
      <c r="B977" s="9" t="n"/>
    </row>
    <row r="978" ht="14.25" customHeight="1" s="25">
      <c r="A978" s="9" t="n"/>
      <c r="B978" s="9" t="n"/>
    </row>
    <row r="979" ht="14.25" customHeight="1" s="25">
      <c r="A979" s="9" t="n"/>
      <c r="B979" s="9" t="n"/>
    </row>
    <row r="980" ht="14.25" customHeight="1" s="25">
      <c r="A980" s="9" t="n"/>
      <c r="B980" s="9" t="n"/>
    </row>
    <row r="981" ht="14.25" customHeight="1" s="25">
      <c r="A981" s="9" t="n"/>
      <c r="B981" s="9" t="n"/>
    </row>
    <row r="982" ht="14.25" customHeight="1" s="25">
      <c r="A982" s="9" t="n"/>
      <c r="B982" s="9" t="n"/>
    </row>
    <row r="983" ht="14.25" customHeight="1" s="25">
      <c r="A983" s="9" t="n"/>
      <c r="B983" s="9" t="n"/>
    </row>
    <row r="984" ht="14.25" customHeight="1" s="25">
      <c r="A984" s="9" t="n"/>
      <c r="B984" s="9" t="n"/>
    </row>
    <row r="985" ht="14.25" customHeight="1" s="25">
      <c r="A985" s="9" t="n"/>
      <c r="B985" s="9" t="n"/>
    </row>
    <row r="986" ht="14.25" customHeight="1" s="25">
      <c r="A986" s="9" t="n"/>
      <c r="B986" s="9" t="n"/>
    </row>
    <row r="987" ht="14.25" customHeight="1" s="25">
      <c r="A987" s="9" t="n"/>
      <c r="B987" s="9" t="n"/>
    </row>
    <row r="988" ht="14.25" customHeight="1" s="25">
      <c r="A988" s="9" t="n"/>
      <c r="B988" s="9" t="n"/>
    </row>
    <row r="989" ht="14.25" customHeight="1" s="25">
      <c r="A989" s="9" t="n"/>
      <c r="B989" s="9" t="n"/>
    </row>
    <row r="990" ht="14.25" customHeight="1" s="25">
      <c r="A990" s="9" t="n"/>
      <c r="B990" s="9" t="n"/>
    </row>
    <row r="991" ht="14.25" customHeight="1" s="25">
      <c r="A991" s="9" t="n"/>
      <c r="B991" s="9" t="n"/>
    </row>
    <row r="992" ht="14.25" customHeight="1" s="25">
      <c r="A992" s="9" t="n"/>
      <c r="B992" s="9" t="n"/>
    </row>
    <row r="993" ht="14.25" customHeight="1" s="25">
      <c r="A993" s="9" t="n"/>
      <c r="B993" s="9" t="n"/>
    </row>
    <row r="994" ht="14.25" customHeight="1" s="25">
      <c r="A994" s="9" t="n"/>
      <c r="B994" s="9" t="n"/>
    </row>
    <row r="995" ht="14.25" customHeight="1" s="25">
      <c r="A995" s="9" t="n"/>
      <c r="B995" s="9" t="n"/>
    </row>
    <row r="996" ht="14.25" customHeight="1" s="25">
      <c r="A996" s="9" t="n"/>
      <c r="B996" s="9" t="n"/>
    </row>
    <row r="997" ht="14.25" customHeight="1" s="25">
      <c r="A997" s="9" t="n"/>
      <c r="B997" s="9" t="n"/>
    </row>
    <row r="998" ht="14.25" customHeight="1" s="25">
      <c r="A998" s="9" t="n"/>
      <c r="B998" s="9" t="n"/>
    </row>
    <row r="999" ht="14.25" customHeight="1" s="25">
      <c r="A999" s="9" t="n"/>
      <c r="B999" s="9" t="n"/>
    </row>
    <row r="1000" ht="14.25" customHeight="1" s="25">
      <c r="A1000" s="9" t="n"/>
      <c r="B1000" s="9" t="n"/>
    </row>
    <row r="1001" ht="14.25" customHeight="1" s="25">
      <c r="A1001" s="9" t="n"/>
      <c r="B1001" s="9" t="n"/>
    </row>
  </sheetData>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F29"/>
  <sheetViews>
    <sheetView zoomScaleNormal="100" workbookViewId="0">
      <selection activeCell="J28" sqref="J28"/>
    </sheetView>
  </sheetViews>
  <sheetFormatPr baseColWidth="8" defaultColWidth="8.6328125" defaultRowHeight="14.5"/>
  <cols>
    <col width="12.6328125" customWidth="1" style="25" min="2" max="2"/>
    <col width="13.54296875" customWidth="1" style="25" min="3" max="3"/>
    <col width="12.6328125" customWidth="1" style="25" min="4" max="4"/>
    <col width="13.6328125" customWidth="1" style="25" min="5" max="5"/>
    <col width="15.54296875" customWidth="1" style="25" min="6" max="6"/>
  </cols>
  <sheetData>
    <row r="1" ht="14.25" customHeight="1" s="25">
      <c r="A1" s="10" t="inlineStr">
        <is>
          <t>Y</t>
        </is>
      </c>
      <c r="B1" s="10" t="inlineStr">
        <is>
          <t>Hydro</t>
        </is>
      </c>
      <c r="C1" s="10" t="inlineStr">
        <is>
          <t>Coal</t>
        </is>
      </c>
      <c r="D1" s="10" t="inlineStr">
        <is>
          <t>Solar</t>
        </is>
      </c>
      <c r="E1" s="10" t="inlineStr">
        <is>
          <t>Gas</t>
        </is>
      </c>
      <c r="F1" s="10" t="inlineStr">
        <is>
          <t>Bioenergy</t>
        </is>
      </c>
    </row>
    <row r="2" ht="14.25" customHeight="1" s="25">
      <c r="A2" s="11" t="n">
        <v>2025</v>
      </c>
      <c r="B2" s="12" t="n">
        <v>1691</v>
      </c>
      <c r="C2" s="12" t="n">
        <v>1800</v>
      </c>
      <c r="D2" s="12" t="n">
        <v>900</v>
      </c>
      <c r="E2" s="12" t="n">
        <v>1000</v>
      </c>
      <c r="F2" s="12" t="n">
        <v>1500</v>
      </c>
    </row>
    <row r="3" ht="14.25" customHeight="1" s="25">
      <c r="A3" s="11" t="n">
        <v>2026</v>
      </c>
      <c r="B3" s="12" t="n">
        <v>1688</v>
      </c>
      <c r="C3" s="12" t="n">
        <v>1809</v>
      </c>
      <c r="D3" s="12" t="n">
        <v>880</v>
      </c>
      <c r="E3" s="12" t="n">
        <v>994</v>
      </c>
      <c r="F3" s="12" t="n">
        <v>1492</v>
      </c>
    </row>
    <row r="4" ht="14.25" customHeight="1" s="25">
      <c r="A4" s="11" t="n">
        <v>2027</v>
      </c>
      <c r="B4" s="12" t="n">
        <v>1686</v>
      </c>
      <c r="C4" s="12" t="n">
        <v>1818.045</v>
      </c>
      <c r="D4" s="12" t="n">
        <v>860</v>
      </c>
      <c r="E4" s="12" t="n">
        <v>988</v>
      </c>
      <c r="F4" s="12" t="n">
        <v>1484</v>
      </c>
    </row>
    <row r="5" ht="14.25" customHeight="1" s="25">
      <c r="A5" s="11" t="n">
        <v>2028</v>
      </c>
      <c r="B5" s="12" t="n">
        <v>1683</v>
      </c>
      <c r="C5" s="12" t="n">
        <v>1827.135</v>
      </c>
      <c r="D5" s="12" t="n">
        <v>840</v>
      </c>
      <c r="E5" s="12" t="n">
        <v>982</v>
      </c>
      <c r="F5" s="12" t="n">
        <v>1476</v>
      </c>
    </row>
    <row r="6" ht="14.25" customHeight="1" s="25">
      <c r="A6" s="11" t="n">
        <v>2029</v>
      </c>
      <c r="B6" s="12" t="n">
        <v>1680</v>
      </c>
      <c r="C6" s="12" t="n">
        <v>1836.271</v>
      </c>
      <c r="D6" s="12" t="n">
        <v>820</v>
      </c>
      <c r="E6" s="12" t="n">
        <v>976</v>
      </c>
      <c r="F6" s="12" t="n">
        <v>1468</v>
      </c>
    </row>
    <row r="7" ht="14.25" customHeight="1" s="25">
      <c r="A7" s="11" t="n">
        <v>2030</v>
      </c>
      <c r="B7" s="12" t="n">
        <v>1677</v>
      </c>
      <c r="C7" s="12" t="n">
        <v>1845.452</v>
      </c>
      <c r="D7" s="12" t="n">
        <v>800</v>
      </c>
      <c r="E7" s="12" t="n">
        <v>970</v>
      </c>
      <c r="F7" s="12" t="n">
        <v>1460</v>
      </c>
    </row>
    <row r="8" ht="14.25" customHeight="1" s="25">
      <c r="A8" s="11" t="n">
        <v>2031</v>
      </c>
      <c r="B8" s="12" t="n">
        <v>1674</v>
      </c>
      <c r="C8" s="12" t="n">
        <v>1854.68</v>
      </c>
      <c r="D8" s="12" t="n">
        <v>780</v>
      </c>
      <c r="E8" s="12" t="n">
        <v>964</v>
      </c>
      <c r="F8" s="12" t="n">
        <v>1452</v>
      </c>
    </row>
    <row r="9" ht="14.25" customHeight="1" s="25">
      <c r="A9" s="11" t="n">
        <v>2032</v>
      </c>
      <c r="B9" s="12" t="n">
        <v>1671</v>
      </c>
      <c r="C9" s="12" t="n">
        <v>1863.953</v>
      </c>
      <c r="D9" s="12" t="n">
        <v>760</v>
      </c>
      <c r="E9" s="12" t="n">
        <v>958</v>
      </c>
      <c r="F9" s="12" t="n">
        <v>1444</v>
      </c>
    </row>
    <row r="10" ht="14.25" customHeight="1" s="25">
      <c r="A10" s="11" t="n">
        <v>2033</v>
      </c>
      <c r="B10" s="12" t="n">
        <v>1668</v>
      </c>
      <c r="C10" s="12" t="n">
        <v>1873.273</v>
      </c>
      <c r="D10" s="12" t="n">
        <v>740</v>
      </c>
      <c r="E10" s="12" t="n">
        <v>952</v>
      </c>
      <c r="F10" s="12" t="n">
        <v>1436</v>
      </c>
    </row>
    <row r="11" ht="14.25" customHeight="1" s="25">
      <c r="A11" s="11" t="n">
        <v>2034</v>
      </c>
      <c r="B11" s="12" t="n">
        <v>1665</v>
      </c>
      <c r="C11" s="12" t="n">
        <v>1882.639</v>
      </c>
      <c r="D11" s="12" t="n">
        <v>720</v>
      </c>
      <c r="E11" s="12" t="n">
        <v>946</v>
      </c>
      <c r="F11" s="12" t="n">
        <v>1428</v>
      </c>
    </row>
    <row r="12" ht="14.25" customHeight="1" s="25">
      <c r="A12" s="11" t="n">
        <v>2035</v>
      </c>
      <c r="B12" s="12" t="n">
        <v>1663</v>
      </c>
      <c r="C12" s="12" t="n">
        <v>1892.052</v>
      </c>
      <c r="D12" s="12" t="n">
        <v>700</v>
      </c>
      <c r="E12" s="12" t="n">
        <v>940</v>
      </c>
      <c r="F12" s="12" t="n">
        <v>1420</v>
      </c>
    </row>
    <row r="13" ht="14.25" customHeight="1" s="25">
      <c r="A13" s="11" t="n">
        <v>2036</v>
      </c>
      <c r="B13" s="12" t="n">
        <v>1660</v>
      </c>
      <c r="C13" s="12" t="n">
        <v>1901.512</v>
      </c>
      <c r="D13" s="12" t="n">
        <v>680</v>
      </c>
      <c r="E13" s="12" t="n">
        <v>934</v>
      </c>
      <c r="F13" s="12" t="n">
        <v>1412</v>
      </c>
    </row>
    <row r="14" ht="14.25" customHeight="1" s="25">
      <c r="A14" s="11" t="n">
        <v>2037</v>
      </c>
      <c r="B14" s="12" t="n">
        <v>1657</v>
      </c>
      <c r="C14" s="12" t="n">
        <v>1911.02</v>
      </c>
      <c r="D14" s="12" t="n">
        <v>660</v>
      </c>
      <c r="E14" s="12" t="n">
        <v>928</v>
      </c>
      <c r="F14" s="12" t="n">
        <v>1404</v>
      </c>
    </row>
    <row r="15" ht="14.25" customHeight="1" s="25">
      <c r="A15" s="11" t="n">
        <v>2038</v>
      </c>
      <c r="B15" s="12" t="n">
        <v>1654</v>
      </c>
      <c r="C15" s="12" t="n">
        <v>1920.575</v>
      </c>
      <c r="D15" s="12" t="n">
        <v>640</v>
      </c>
      <c r="E15" s="12" t="n">
        <v>922</v>
      </c>
      <c r="F15" s="12" t="n">
        <v>1396</v>
      </c>
    </row>
    <row r="16" ht="14.25" customHeight="1" s="25">
      <c r="A16" s="11" t="n">
        <v>2039</v>
      </c>
      <c r="B16" s="12" t="n">
        <v>1651</v>
      </c>
      <c r="C16" s="12" t="n">
        <v>1930.178</v>
      </c>
      <c r="D16" s="12" t="n">
        <v>620</v>
      </c>
      <c r="E16" s="12" t="n">
        <v>916</v>
      </c>
      <c r="F16" s="12" t="n">
        <v>1388</v>
      </c>
    </row>
    <row r="17" ht="14.25" customHeight="1" s="25">
      <c r="A17" s="11" t="n">
        <v>2040</v>
      </c>
      <c r="B17" s="12" t="n">
        <v>1648</v>
      </c>
      <c r="C17" s="12" t="n">
        <v>1939.829</v>
      </c>
      <c r="D17" s="12" t="n">
        <v>600</v>
      </c>
      <c r="E17" s="12" t="n">
        <v>910</v>
      </c>
      <c r="F17" s="12" t="n">
        <v>1380</v>
      </c>
    </row>
    <row r="18" ht="14.25" customHeight="1" s="25">
      <c r="A18" s="11" t="n">
        <v>2041</v>
      </c>
      <c r="B18" s="12" t="n">
        <v>1646</v>
      </c>
      <c r="C18" s="12" t="n">
        <v>1949.528</v>
      </c>
      <c r="D18" s="12" t="n">
        <v>580</v>
      </c>
      <c r="E18" s="12" t="n">
        <v>904</v>
      </c>
      <c r="F18" s="12" t="n">
        <v>1372</v>
      </c>
    </row>
    <row r="19" ht="14.25" customHeight="1" s="25">
      <c r="A19" s="11" t="n">
        <v>2042</v>
      </c>
      <c r="B19" s="12" t="n">
        <v>1643</v>
      </c>
      <c r="C19" s="12" t="n">
        <v>1959.276</v>
      </c>
      <c r="D19" s="12" t="n">
        <v>560</v>
      </c>
      <c r="E19" s="12" t="n">
        <v>898</v>
      </c>
      <c r="F19" s="12" t="n">
        <v>1364</v>
      </c>
    </row>
    <row r="20" ht="14.25" customHeight="1" s="25">
      <c r="A20" s="11" t="n">
        <v>2043</v>
      </c>
      <c r="B20" s="12" t="n">
        <v>1640</v>
      </c>
      <c r="C20" s="12" t="n">
        <v>1969.072</v>
      </c>
      <c r="D20" s="12" t="n">
        <v>540</v>
      </c>
      <c r="E20" s="12" t="n">
        <v>892</v>
      </c>
      <c r="F20" s="12" t="n">
        <v>1356</v>
      </c>
    </row>
    <row r="21" ht="14.25" customHeight="1" s="25">
      <c r="A21" s="11" t="n">
        <v>2044</v>
      </c>
      <c r="B21" s="12" t="n">
        <v>1637</v>
      </c>
      <c r="C21" s="12" t="n">
        <v>1978.917</v>
      </c>
      <c r="D21" s="12" t="n">
        <v>520</v>
      </c>
      <c r="E21" s="12" t="n">
        <v>886</v>
      </c>
      <c r="F21" s="12" t="n">
        <v>1348</v>
      </c>
    </row>
    <row r="22" ht="14.25" customHeight="1" s="25">
      <c r="A22" s="11" t="n">
        <v>2045</v>
      </c>
      <c r="B22" s="12" t="n">
        <v>1634</v>
      </c>
      <c r="C22" s="12" t="n">
        <v>1988.812</v>
      </c>
      <c r="D22" s="12" t="n">
        <v>500</v>
      </c>
      <c r="E22" s="12" t="n">
        <v>880</v>
      </c>
      <c r="F22" s="12" t="n">
        <v>1340</v>
      </c>
    </row>
    <row r="23" ht="14.25" customHeight="1" s="25">
      <c r="A23" s="11" t="n">
        <v>2046</v>
      </c>
      <c r="B23" s="12" t="n">
        <v>1632</v>
      </c>
      <c r="C23" s="12" t="n">
        <v>1998.756</v>
      </c>
      <c r="D23" s="12" t="n">
        <v>480</v>
      </c>
      <c r="E23" s="12" t="n">
        <v>874</v>
      </c>
      <c r="F23" s="12" t="n">
        <v>1332</v>
      </c>
    </row>
    <row r="24" ht="14.25" customHeight="1" s="25">
      <c r="A24" s="11" t="n">
        <v>2047</v>
      </c>
      <c r="B24" s="12" t="n">
        <v>1629</v>
      </c>
      <c r="C24" s="12" t="n">
        <v>2008.75</v>
      </c>
      <c r="D24" s="12" t="n">
        <v>460</v>
      </c>
      <c r="E24" s="12" t="n">
        <v>868</v>
      </c>
      <c r="F24" s="12" t="n">
        <v>1324</v>
      </c>
    </row>
    <row r="25" ht="14.25" customHeight="1" s="25">
      <c r="A25" s="11" t="n">
        <v>2048</v>
      </c>
      <c r="B25" s="12" t="n">
        <v>1626</v>
      </c>
      <c r="C25" s="12" t="n">
        <v>2018.794</v>
      </c>
      <c r="D25" s="12" t="n">
        <v>440</v>
      </c>
      <c r="E25" s="12" t="n">
        <v>862</v>
      </c>
      <c r="F25" s="12" t="n">
        <v>1316</v>
      </c>
    </row>
    <row r="26" ht="14.25" customHeight="1" s="25">
      <c r="A26" s="11" t="n">
        <v>2049</v>
      </c>
      <c r="B26" s="12" t="n">
        <v>1600</v>
      </c>
      <c r="C26" s="12" t="n">
        <v>2028.888</v>
      </c>
      <c r="D26" s="12" t="n">
        <v>420</v>
      </c>
      <c r="E26" s="12" t="n">
        <v>856</v>
      </c>
      <c r="F26" s="12" t="n">
        <v>1308</v>
      </c>
    </row>
    <row r="27" ht="14.25" customHeight="1" s="25">
      <c r="A27" s="11" t="n">
        <v>2050</v>
      </c>
      <c r="B27" s="12" t="n">
        <v>1550</v>
      </c>
      <c r="C27" s="12" t="n">
        <v>2039.032</v>
      </c>
      <c r="D27" s="12" t="n">
        <v>400</v>
      </c>
      <c r="E27" s="12" t="n">
        <v>850</v>
      </c>
      <c r="F27" s="12" t="n">
        <v>1300</v>
      </c>
    </row>
    <row r="29" ht="14.25" customHeight="1" s="25">
      <c r="A29" t="inlineStr">
        <is>
          <t>Average</t>
        </is>
      </c>
      <c r="B29" s="13">
        <f>(SUM(B2:B27)/26)*1000</f>
        <v/>
      </c>
      <c r="C29" s="13">
        <f>(SUM(C2:C27)/26)*1000</f>
        <v/>
      </c>
      <c r="D29" s="13">
        <f>(SUM(D2:D27)/26)*1000</f>
        <v/>
      </c>
      <c r="E29" s="13">
        <f>(SUM(E2:E27)/26)*1000</f>
        <v/>
      </c>
      <c r="F29" s="13">
        <f>(SUM(F2:F27)/26)*1000</f>
        <v/>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S18"/>
  <sheetViews>
    <sheetView zoomScaleNormal="100" workbookViewId="0">
      <selection activeCell="G17" sqref="G17"/>
    </sheetView>
  </sheetViews>
  <sheetFormatPr baseColWidth="8" defaultColWidth="8.6328125" defaultRowHeight="14.5"/>
  <cols>
    <col width="10.7265625" customWidth="1" style="25" min="2" max="2"/>
    <col width="11.7265625" customWidth="1" style="25" min="4" max="4"/>
    <col width="12.6328125" customWidth="1" style="25" min="5" max="5"/>
    <col width="9.36328125" customWidth="1" style="25" min="7" max="7"/>
    <col width="13.6328125" customWidth="1" style="25" min="10" max="10"/>
    <col width="11.26953125" customWidth="1" style="25" min="11" max="11"/>
    <col width="13.6328125" customWidth="1" style="25" min="12" max="12"/>
    <col width="13.54296875" customWidth="1" style="25" min="13" max="13"/>
    <col width="14.36328125" customWidth="1" style="25" min="14" max="14"/>
    <col width="9.36328125" customWidth="1" style="25" min="15" max="15"/>
  </cols>
  <sheetData>
    <row r="1" ht="43.5" customHeight="1" s="25">
      <c r="A1" s="14" t="inlineStr">
        <is>
          <t>Region</t>
        </is>
      </c>
      <c r="B1" s="14" t="inlineStr">
        <is>
          <t>Technology type</t>
        </is>
      </c>
      <c r="C1" s="14" t="inlineStr">
        <is>
          <t>Init (MW)</t>
        </is>
      </c>
      <c r="D1" s="14" t="inlineStr">
        <is>
          <t>EM (kg/MWh)</t>
        </is>
      </c>
      <c r="E1" s="14" t="inlineStr">
        <is>
          <t>InvCost ($/MW)</t>
        </is>
      </c>
      <c r="F1" s="14" t="inlineStr">
        <is>
          <t>GenCost ($/MWh)</t>
        </is>
      </c>
      <c r="G1" s="14" t="inlineStr">
        <is>
          <t>Opex ($/kWh)</t>
        </is>
      </c>
      <c r="H1" s="14" t="inlineStr">
        <is>
          <t>Opnew ($/MWh)</t>
        </is>
      </c>
      <c r="I1" s="14" t="inlineStr">
        <is>
          <t>Transmission cost ($/MWh)</t>
        </is>
      </c>
      <c r="J1" s="14" t="inlineStr">
        <is>
          <t xml:space="preserve">Demand 2024 (MWh) </t>
        </is>
      </c>
      <c r="K1" s="14" t="inlineStr">
        <is>
          <t>TranAmount  (MWh)</t>
        </is>
      </c>
      <c r="L1" s="14" t="inlineStr">
        <is>
          <t>GenAmount 2025 (MWh)</t>
        </is>
      </c>
      <c r="M1" s="14" t="inlineStr">
        <is>
          <t>percentage (by Init for each state)</t>
        </is>
      </c>
      <c r="N1" s="14" t="inlineStr">
        <is>
          <t>percentage (by Init for each technology)</t>
        </is>
      </c>
      <c r="O1" s="14" t="inlineStr">
        <is>
          <t xml:space="preserve">variable OPEX </t>
        </is>
      </c>
      <c r="P1" s="14" t="inlineStr">
        <is>
          <t>fuel ($/GJ)</t>
        </is>
      </c>
      <c r="Q1" s="14" t="inlineStr">
        <is>
          <t>fuel ($/MWh)</t>
        </is>
      </c>
      <c r="R1" s="14" t="inlineStr">
        <is>
          <t>GenCost  previous used</t>
        </is>
      </c>
      <c r="S1" s="14" t="inlineStr">
        <is>
          <t>SRMC</t>
        </is>
      </c>
    </row>
    <row r="2" ht="14.25" customHeight="1" s="25">
      <c r="A2" s="15" t="inlineStr">
        <is>
          <t>ZWE</t>
        </is>
      </c>
      <c r="B2" s="11" t="inlineStr">
        <is>
          <t>Hydro</t>
        </is>
      </c>
      <c r="C2" s="16" t="n">
        <v>1119.58</v>
      </c>
      <c r="D2" t="n">
        <v>0</v>
      </c>
      <c r="E2" s="13" t="n">
        <v>1652038.46153846</v>
      </c>
      <c r="F2" s="13" t="n">
        <v>2</v>
      </c>
      <c r="G2" s="13" t="n">
        <v>28</v>
      </c>
      <c r="H2" s="13" t="n">
        <v>22.4</v>
      </c>
      <c r="I2" s="13" t="n">
        <v>5.92693690342401</v>
      </c>
      <c r="J2" s="16">
        <f>8706000*M2</f>
        <v/>
      </c>
      <c r="K2" s="16">
        <f>8706000*M2</f>
        <v/>
      </c>
      <c r="L2" s="16">
        <f>J2</f>
        <v/>
      </c>
      <c r="M2" s="16">
        <f>C2/SUM($C$2:$C$6)</f>
        <v/>
      </c>
      <c r="N2" s="16">
        <f>C2/SUM($C$2:$C$6)</f>
        <v/>
      </c>
      <c r="O2" s="16" t="n"/>
      <c r="P2" s="16" t="n">
        <v>0</v>
      </c>
      <c r="Q2" s="16" t="n">
        <v>0</v>
      </c>
      <c r="R2" s="17" t="n">
        <v>3.2</v>
      </c>
      <c r="S2" s="16" t="n"/>
    </row>
    <row r="3" ht="14.25" customHeight="1" s="25">
      <c r="A3" s="15" t="inlineStr">
        <is>
          <t>ZWE</t>
        </is>
      </c>
      <c r="B3" s="11" t="inlineStr">
        <is>
          <t>Coal</t>
        </is>
      </c>
      <c r="C3" s="16" t="n">
        <v>1680</v>
      </c>
      <c r="D3" t="n">
        <v>924</v>
      </c>
      <c r="E3" s="16" t="n">
        <v>1917132.27177947</v>
      </c>
      <c r="F3" s="13" t="n">
        <v>40</v>
      </c>
      <c r="G3" s="13" t="n">
        <v>40</v>
      </c>
      <c r="H3" s="13" t="n">
        <v>32</v>
      </c>
      <c r="I3" s="13" t="n">
        <v>5.92693690342401</v>
      </c>
      <c r="J3" s="16">
        <f>8706000*M3</f>
        <v/>
      </c>
      <c r="K3" s="16">
        <f>8706000*M3</f>
        <v/>
      </c>
      <c r="L3" s="16">
        <f>J3</f>
        <v/>
      </c>
      <c r="M3" s="16">
        <f>C3/SUM($C$2:$C$6)</f>
        <v/>
      </c>
      <c r="N3" s="16">
        <f>C3/SUM($C$2:$C$6)</f>
        <v/>
      </c>
      <c r="O3" s="16" t="n">
        <v>9.699999999999999</v>
      </c>
      <c r="P3" s="16" t="n">
        <v>1.7</v>
      </c>
      <c r="Q3" s="16" t="n">
        <v>15.3</v>
      </c>
      <c r="R3" s="17" t="n">
        <v>24.7</v>
      </c>
      <c r="S3" s="16" t="n">
        <v>40</v>
      </c>
    </row>
    <row r="4" ht="14.25" customHeight="1" s="25">
      <c r="A4" s="15" t="inlineStr">
        <is>
          <t>ZWE</t>
        </is>
      </c>
      <c r="B4" s="11" t="inlineStr">
        <is>
          <t>Solar</t>
        </is>
      </c>
      <c r="C4" s="16" t="n">
        <v>70.12</v>
      </c>
      <c r="D4" t="n">
        <v>0</v>
      </c>
      <c r="E4" s="16" t="n">
        <v>650000</v>
      </c>
      <c r="F4" s="13" t="n">
        <v>0</v>
      </c>
      <c r="G4" s="13" t="n">
        <v>14</v>
      </c>
      <c r="H4" s="13" t="n">
        <v>11.2</v>
      </c>
      <c r="I4" s="13" t="n">
        <v>5.92693690342401</v>
      </c>
      <c r="J4" s="16">
        <f>8706000*M4</f>
        <v/>
      </c>
      <c r="K4" s="16">
        <f>8706000*M4</f>
        <v/>
      </c>
      <c r="L4" s="16">
        <f>J4</f>
        <v/>
      </c>
      <c r="M4" s="16">
        <f>C4/SUM($C$2:$C$6)</f>
        <v/>
      </c>
      <c r="N4" s="16">
        <f>C4/SUM($C$2:$C$6)</f>
        <v/>
      </c>
      <c r="O4" s="16" t="n"/>
      <c r="P4" t="n">
        <v>0</v>
      </c>
      <c r="Q4" t="n">
        <v>0</v>
      </c>
      <c r="R4" s="16" t="n">
        <v>2</v>
      </c>
      <c r="S4" s="16" t="n"/>
    </row>
    <row r="5" ht="14.25" customHeight="1" s="25">
      <c r="A5" s="15" t="inlineStr">
        <is>
          <t>ZWE</t>
        </is>
      </c>
      <c r="B5" s="11" t="inlineStr">
        <is>
          <t>Gas</t>
        </is>
      </c>
      <c r="C5" s="16" t="n">
        <v>5</v>
      </c>
      <c r="D5" t="n">
        <v>630</v>
      </c>
      <c r="E5" s="16" t="n">
        <v>925000</v>
      </c>
      <c r="F5" s="13" t="n">
        <v>80</v>
      </c>
      <c r="G5" s="13" t="n">
        <v>20</v>
      </c>
      <c r="H5" s="16" t="n">
        <v>16</v>
      </c>
      <c r="I5" s="13" t="n">
        <v>5.92693690342401</v>
      </c>
      <c r="J5" s="16">
        <f>8706000*M5</f>
        <v/>
      </c>
      <c r="K5" s="16">
        <f>8706000*M5</f>
        <v/>
      </c>
      <c r="L5" s="16">
        <f>J5</f>
        <v/>
      </c>
      <c r="M5" s="16">
        <f>C5/SUM($C$2:$C$6)</f>
        <v/>
      </c>
      <c r="N5" s="16">
        <f>C5/SUM($C$2:$C$6)</f>
        <v/>
      </c>
      <c r="O5" s="16" t="n">
        <v>8.779999999999999</v>
      </c>
      <c r="P5" t="n">
        <v>8</v>
      </c>
      <c r="Q5" t="n">
        <v>60</v>
      </c>
      <c r="R5" s="17" t="n">
        <v>20</v>
      </c>
      <c r="S5" s="16" t="n">
        <v>80</v>
      </c>
    </row>
    <row r="6" ht="14.25" customHeight="1" s="25">
      <c r="A6" s="15" t="inlineStr">
        <is>
          <t>ZWE</t>
        </is>
      </c>
      <c r="B6" s="11" t="inlineStr">
        <is>
          <t>Bioenergy</t>
        </is>
      </c>
      <c r="C6" s="16" t="n">
        <v>92.3</v>
      </c>
      <c r="D6" t="n">
        <v>230</v>
      </c>
      <c r="E6" s="16" t="n">
        <v>1400000</v>
      </c>
      <c r="F6" s="13" t="n">
        <v>18</v>
      </c>
      <c r="G6" s="13" t="n">
        <v>42</v>
      </c>
      <c r="H6" s="16" t="n">
        <v>33.6</v>
      </c>
      <c r="I6" s="16" t="n">
        <v>5.92693690342401</v>
      </c>
      <c r="J6" s="16">
        <f>8706000*M6</f>
        <v/>
      </c>
      <c r="K6" s="16">
        <f>8706000*M6</f>
        <v/>
      </c>
      <c r="L6" s="16">
        <f>J6</f>
        <v/>
      </c>
      <c r="M6" s="16">
        <f>C6/SUM($C$2:$C$6)</f>
        <v/>
      </c>
      <c r="N6" s="16">
        <f>C6/SUM($C$2:$C$6)</f>
        <v/>
      </c>
      <c r="O6" s="16" t="n">
        <v>8</v>
      </c>
      <c r="P6" s="16" t="n">
        <v>0.5</v>
      </c>
      <c r="Q6" s="16" t="n">
        <v>5</v>
      </c>
      <c r="R6" s="16" t="n">
        <v>13</v>
      </c>
      <c r="S6" s="16" t="n">
        <v>18</v>
      </c>
    </row>
    <row r="17" ht="14.25" customHeight="1" s="25">
      <c r="E17" s="17" t="n"/>
    </row>
    <row r="18" ht="14.25" customHeight="1" s="25">
      <c r="E18" s="17" t="n"/>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L6"/>
  <sheetViews>
    <sheetView tabSelected="1" zoomScaleNormal="100" workbookViewId="0">
      <selection activeCell="L16" sqref="L16"/>
    </sheetView>
  </sheetViews>
  <sheetFormatPr baseColWidth="8" defaultColWidth="8.6328125" defaultRowHeight="14.5"/>
  <cols>
    <col width="18.26953125" customWidth="1" style="25" min="2" max="2"/>
    <col width="12.81640625" customWidth="1" style="25" min="3" max="3"/>
    <col width="13.36328125" customWidth="1" style="25" min="4" max="4"/>
    <col width="11.90625" customWidth="1" style="25" min="5" max="5"/>
    <col width="9.6328125" customWidth="1" style="25" min="11" max="11"/>
  </cols>
  <sheetData>
    <row r="1" ht="14.25" customHeight="1" s="25">
      <c r="A1" t="inlineStr">
        <is>
          <t>Region</t>
        </is>
      </c>
      <c r="B1" t="inlineStr">
        <is>
          <t>Technology type</t>
        </is>
      </c>
      <c r="C1" t="inlineStr">
        <is>
          <t>A_0 (MW)</t>
        </is>
      </c>
      <c r="D1" t="inlineStr">
        <is>
          <t>a=cf(1-d)h</t>
        </is>
      </c>
      <c r="E1" t="inlineStr">
        <is>
          <t>b=A_0*a</t>
        </is>
      </c>
      <c r="F1" t="inlineStr">
        <is>
          <t>a_new</t>
        </is>
      </c>
      <c r="G1" t="inlineStr">
        <is>
          <t>xinit_ub</t>
        </is>
      </c>
      <c r="H1" t="inlineStr">
        <is>
          <t>xinit_lb</t>
        </is>
      </c>
      <c r="I1" t="inlineStr">
        <is>
          <t>times</t>
        </is>
      </c>
      <c r="J1" t="inlineStr">
        <is>
          <t>ave_cap</t>
        </is>
      </c>
      <c r="K1" t="inlineStr">
        <is>
          <t>max_cap</t>
        </is>
      </c>
      <c r="L1" t="inlineStr">
        <is>
          <t>old_ub</t>
        </is>
      </c>
    </row>
    <row r="2" ht="14.25" customHeight="1" s="25">
      <c r="A2" t="inlineStr">
        <is>
          <t>ZWE</t>
        </is>
      </c>
      <c r="B2" t="inlineStr">
        <is>
          <t>Hydro</t>
        </is>
      </c>
      <c r="C2" t="n">
        <v>1119.58</v>
      </c>
      <c r="D2" t="n">
        <v>4380</v>
      </c>
      <c r="E2" t="n">
        <v>4903760.399999999</v>
      </c>
      <c r="F2" t="n">
        <v>4380</v>
      </c>
      <c r="G2" t="n">
        <v>5000</v>
      </c>
      <c r="H2" t="n">
        <v>0</v>
      </c>
      <c r="I2" t="n">
        <v>3.5</v>
      </c>
      <c r="J2" t="n">
        <v>100</v>
      </c>
      <c r="K2" t="n">
        <v>1050</v>
      </c>
      <c r="L2" t="n">
        <v>3358.74</v>
      </c>
    </row>
    <row r="3" ht="14.25" customHeight="1" s="25">
      <c r="A3" t="inlineStr">
        <is>
          <t>ZWE</t>
        </is>
      </c>
      <c r="B3" t="inlineStr">
        <is>
          <t>Coal</t>
        </is>
      </c>
      <c r="C3" t="n">
        <v>1680</v>
      </c>
      <c r="D3" t="n">
        <v>4818</v>
      </c>
      <c r="E3" t="n">
        <v>8094240</v>
      </c>
      <c r="F3" t="n">
        <v>4818</v>
      </c>
      <c r="G3" t="n">
        <v>1900</v>
      </c>
      <c r="H3" t="n">
        <v>0</v>
      </c>
      <c r="I3" t="n">
        <v>12</v>
      </c>
      <c r="J3" t="n">
        <v>300</v>
      </c>
      <c r="K3" t="n">
        <v>600</v>
      </c>
      <c r="L3" t="n">
        <v>1680</v>
      </c>
    </row>
    <row r="4" ht="14.25" customHeight="1" s="25">
      <c r="A4" t="inlineStr">
        <is>
          <t>ZWE</t>
        </is>
      </c>
      <c r="B4" t="inlineStr">
        <is>
          <t>Solar</t>
        </is>
      </c>
      <c r="C4" t="n">
        <v>70.12</v>
      </c>
      <c r="D4" t="n">
        <v>1971</v>
      </c>
      <c r="E4" t="n">
        <v>138206.52</v>
      </c>
      <c r="F4" t="n">
        <v>1971</v>
      </c>
      <c r="G4" t="n">
        <v>5000</v>
      </c>
      <c r="H4" t="n">
        <v>0</v>
      </c>
      <c r="I4" t="n">
        <v>8.5</v>
      </c>
      <c r="J4" t="n">
        <v>50</v>
      </c>
      <c r="K4" t="n">
        <v>200</v>
      </c>
      <c r="L4" t="n">
        <v>7012</v>
      </c>
    </row>
    <row r="5" ht="14.25" customHeight="1" s="25">
      <c r="A5" t="inlineStr">
        <is>
          <t>ZWE</t>
        </is>
      </c>
      <c r="B5" t="inlineStr">
        <is>
          <t>Gas</t>
        </is>
      </c>
      <c r="C5" t="n">
        <v>5</v>
      </c>
      <c r="D5" t="n">
        <v>4380</v>
      </c>
      <c r="E5" t="n">
        <v>21900</v>
      </c>
      <c r="F5" t="n">
        <v>4380</v>
      </c>
      <c r="G5" t="n">
        <v>3000</v>
      </c>
      <c r="H5" t="n">
        <v>0</v>
      </c>
      <c r="I5" t="n">
        <v>3.2</v>
      </c>
      <c r="J5" t="n">
        <v>100</v>
      </c>
      <c r="K5" t="n">
        <v>300</v>
      </c>
      <c r="L5" t="n">
        <v>250</v>
      </c>
    </row>
    <row r="6" ht="14.25" customHeight="1" s="25">
      <c r="A6" t="inlineStr">
        <is>
          <t>ZWE</t>
        </is>
      </c>
      <c r="B6" t="inlineStr">
        <is>
          <t>Bioenergy</t>
        </is>
      </c>
      <c r="C6" t="n">
        <v>92.3</v>
      </c>
      <c r="D6" t="n">
        <v>4818</v>
      </c>
      <c r="E6" t="n">
        <v>444701.4</v>
      </c>
      <c r="F6" t="n">
        <v>4818</v>
      </c>
      <c r="G6" t="n">
        <v>1000</v>
      </c>
      <c r="H6" t="n">
        <v>0</v>
      </c>
      <c r="I6" t="n">
        <v>3</v>
      </c>
      <c r="J6" t="n">
        <v>25</v>
      </c>
      <c r="K6" t="n">
        <v>100</v>
      </c>
      <c r="L6" t="n">
        <v>4615</v>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F27"/>
  <sheetViews>
    <sheetView topLeftCell="A3" zoomScaleNormal="100" workbookViewId="0">
      <selection activeCell="S13" sqref="S13"/>
    </sheetView>
  </sheetViews>
  <sheetFormatPr baseColWidth="8" defaultColWidth="8.6328125" defaultRowHeight="14.5"/>
  <sheetData>
    <row r="1" ht="28.5" customHeight="1" s="25">
      <c r="A1" s="10" t="inlineStr">
        <is>
          <t>Y</t>
        </is>
      </c>
      <c r="B1" s="10" t="inlineStr">
        <is>
          <t>Hydro</t>
        </is>
      </c>
      <c r="C1" s="10" t="inlineStr">
        <is>
          <t>Coal</t>
        </is>
      </c>
      <c r="D1" s="10" t="inlineStr">
        <is>
          <t>Solar</t>
        </is>
      </c>
      <c r="E1" s="10" t="inlineStr">
        <is>
          <t>Gas</t>
        </is>
      </c>
      <c r="F1" s="10" t="inlineStr">
        <is>
          <t>Bioenergy</t>
        </is>
      </c>
    </row>
    <row r="2" ht="14.25" customHeight="1" s="25">
      <c r="A2" s="11" t="n">
        <v>2025</v>
      </c>
      <c r="B2" s="11" t="n">
        <v>0</v>
      </c>
      <c r="C2" s="11" t="n">
        <v>0</v>
      </c>
      <c r="D2" s="11" t="n">
        <v>0</v>
      </c>
      <c r="E2" s="11" t="n">
        <v>0</v>
      </c>
      <c r="F2" s="11" t="n">
        <v>0</v>
      </c>
    </row>
    <row r="3" ht="14.25" customHeight="1" s="25">
      <c r="A3" s="11" t="n">
        <v>2026</v>
      </c>
      <c r="B3" s="11" t="n">
        <v>0</v>
      </c>
      <c r="C3" s="11" t="n">
        <v>150</v>
      </c>
      <c r="D3" s="11" t="n">
        <v>0</v>
      </c>
      <c r="E3" s="11" t="n">
        <v>0</v>
      </c>
      <c r="F3" s="11" t="n">
        <v>0</v>
      </c>
    </row>
    <row r="4" ht="14.25" customHeight="1" s="25">
      <c r="A4" s="11" t="n">
        <v>2027</v>
      </c>
      <c r="B4" s="11" t="n">
        <v>0</v>
      </c>
      <c r="C4" s="11" t="n">
        <v>150</v>
      </c>
      <c r="D4" s="11" t="n">
        <v>0</v>
      </c>
      <c r="E4" s="11" t="n">
        <v>0</v>
      </c>
      <c r="F4" s="11" t="n">
        <v>0</v>
      </c>
    </row>
    <row r="5" ht="14.25" customHeight="1" s="25">
      <c r="A5" s="11" t="n">
        <v>2028</v>
      </c>
      <c r="B5" s="11" t="n">
        <v>0</v>
      </c>
      <c r="C5" s="11" t="n">
        <v>150</v>
      </c>
      <c r="D5" s="11" t="n">
        <v>0</v>
      </c>
      <c r="E5" s="11" t="n">
        <v>0</v>
      </c>
      <c r="F5" s="11" t="n">
        <v>0</v>
      </c>
    </row>
    <row r="6" ht="14.25" customHeight="1" s="25">
      <c r="A6" s="11" t="n">
        <v>2029</v>
      </c>
      <c r="B6" s="11" t="n">
        <v>0</v>
      </c>
      <c r="C6" s="11" t="n">
        <v>150</v>
      </c>
      <c r="D6" s="11" t="n">
        <v>0</v>
      </c>
      <c r="E6" s="11" t="n">
        <v>0</v>
      </c>
      <c r="F6" s="11" t="n">
        <v>0</v>
      </c>
    </row>
    <row r="7" ht="14.25" customHeight="1" s="25">
      <c r="A7" s="11" t="n">
        <v>2030</v>
      </c>
      <c r="B7" s="11" t="n">
        <v>0</v>
      </c>
      <c r="C7" s="11" t="n">
        <v>160</v>
      </c>
      <c r="D7" s="11" t="n">
        <v>0</v>
      </c>
      <c r="E7" s="11" t="n">
        <v>0</v>
      </c>
      <c r="F7" s="11" t="n">
        <v>0</v>
      </c>
    </row>
    <row r="8" ht="14.25" customHeight="1" s="25">
      <c r="A8" s="11" t="n">
        <v>2031</v>
      </c>
      <c r="B8" s="11" t="n">
        <v>0</v>
      </c>
      <c r="C8" s="11" t="n">
        <v>160</v>
      </c>
      <c r="D8" s="11" t="n">
        <v>0</v>
      </c>
      <c r="E8" s="11" t="n">
        <v>0</v>
      </c>
      <c r="F8" s="11" t="n">
        <v>0</v>
      </c>
    </row>
    <row r="9" ht="14.25" customHeight="1" s="25">
      <c r="A9" s="11" t="n">
        <v>2032</v>
      </c>
      <c r="B9" s="11" t="n">
        <v>0</v>
      </c>
      <c r="C9" s="11" t="n">
        <v>0</v>
      </c>
      <c r="D9" s="11" t="n">
        <v>0</v>
      </c>
      <c r="E9" s="11" t="n">
        <v>0</v>
      </c>
      <c r="F9" s="11" t="n">
        <v>0</v>
      </c>
    </row>
    <row r="10" ht="14.25" customHeight="1" s="25">
      <c r="A10" s="11" t="n">
        <v>2033</v>
      </c>
      <c r="B10" s="11" t="n">
        <v>0</v>
      </c>
      <c r="C10" s="11" t="n">
        <v>0</v>
      </c>
      <c r="D10" s="11" t="n">
        <v>0</v>
      </c>
      <c r="E10" s="11" t="n">
        <v>0</v>
      </c>
      <c r="F10" s="11" t="n">
        <v>0</v>
      </c>
    </row>
    <row r="11" ht="14.25" customHeight="1" s="25">
      <c r="A11" s="11" t="n">
        <v>2034</v>
      </c>
      <c r="B11" s="11" t="n">
        <v>0</v>
      </c>
      <c r="C11" s="11" t="n">
        <v>0</v>
      </c>
      <c r="D11" s="11" t="n">
        <v>0</v>
      </c>
      <c r="E11" s="11" t="n">
        <v>0</v>
      </c>
      <c r="F11" s="11" t="n">
        <v>0</v>
      </c>
    </row>
    <row r="12" ht="14.25" customHeight="1" s="25">
      <c r="A12" s="11" t="n">
        <v>2035</v>
      </c>
      <c r="B12" s="11" t="n">
        <v>0</v>
      </c>
      <c r="C12" s="11" t="n">
        <v>0</v>
      </c>
      <c r="D12" s="11" t="n">
        <v>0</v>
      </c>
      <c r="E12" s="11" t="n">
        <v>0</v>
      </c>
      <c r="F12" s="11" t="n">
        <v>0</v>
      </c>
    </row>
    <row r="13" ht="14.25" customHeight="1" s="25">
      <c r="A13" s="11" t="n">
        <v>2036</v>
      </c>
      <c r="B13" s="11" t="n">
        <v>0</v>
      </c>
      <c r="C13" s="11" t="n">
        <v>0</v>
      </c>
      <c r="D13" s="11" t="n">
        <v>0</v>
      </c>
      <c r="E13" s="11" t="n">
        <v>0</v>
      </c>
      <c r="F13" s="11" t="n">
        <v>0</v>
      </c>
    </row>
    <row r="14" ht="14.25" customHeight="1" s="25">
      <c r="A14" s="11" t="n">
        <v>2037</v>
      </c>
      <c r="B14" s="11" t="n">
        <v>0</v>
      </c>
      <c r="C14" s="11" t="n">
        <v>0</v>
      </c>
      <c r="D14" s="11" t="n">
        <v>0</v>
      </c>
      <c r="E14" s="11" t="n">
        <v>0</v>
      </c>
      <c r="F14" s="11" t="n">
        <v>0</v>
      </c>
    </row>
    <row r="15" ht="14.25" customHeight="1" s="25">
      <c r="A15" s="11" t="n">
        <v>2038</v>
      </c>
      <c r="B15" s="11" t="n">
        <v>0</v>
      </c>
      <c r="C15" s="11" t="n">
        <v>0</v>
      </c>
      <c r="D15" s="11" t="n">
        <v>0</v>
      </c>
      <c r="E15" s="11" t="n">
        <v>0</v>
      </c>
      <c r="F15" s="11" t="n">
        <v>0</v>
      </c>
    </row>
    <row r="16" ht="14.25" customHeight="1" s="25">
      <c r="A16" s="11" t="n">
        <v>2039</v>
      </c>
      <c r="B16" s="11" t="n">
        <v>10</v>
      </c>
      <c r="C16" s="11" t="n">
        <v>0</v>
      </c>
      <c r="D16" s="11" t="n">
        <v>0</v>
      </c>
      <c r="E16" s="11" t="n">
        <v>0</v>
      </c>
      <c r="F16" s="11" t="n">
        <v>0</v>
      </c>
    </row>
    <row r="17" ht="14.25" customHeight="1" s="25">
      <c r="A17" s="11" t="n">
        <v>2040</v>
      </c>
      <c r="B17" s="11" t="n">
        <v>0</v>
      </c>
      <c r="C17" s="11" t="n">
        <v>0</v>
      </c>
      <c r="D17" s="11" t="n">
        <v>0</v>
      </c>
      <c r="E17" s="11" t="n">
        <v>0</v>
      </c>
      <c r="F17" s="11" t="n">
        <v>0</v>
      </c>
    </row>
    <row r="18" ht="14.25" customHeight="1" s="25">
      <c r="A18" s="11" t="n">
        <v>2041</v>
      </c>
      <c r="B18" s="11" t="n">
        <v>0</v>
      </c>
      <c r="C18" s="11" t="n">
        <v>0</v>
      </c>
      <c r="D18" s="11" t="n">
        <v>0</v>
      </c>
      <c r="E18" s="11" t="n">
        <v>0</v>
      </c>
      <c r="F18" s="11" t="n">
        <v>0</v>
      </c>
    </row>
    <row r="19" ht="14.25" customHeight="1" s="25">
      <c r="A19" s="11" t="n">
        <v>2042</v>
      </c>
      <c r="B19" s="11" t="n">
        <v>0</v>
      </c>
      <c r="C19" s="11" t="n">
        <v>0</v>
      </c>
      <c r="D19" s="11" t="n">
        <v>0</v>
      </c>
      <c r="E19" s="11" t="n">
        <v>0</v>
      </c>
      <c r="F19" s="11" t="n">
        <v>0</v>
      </c>
    </row>
    <row r="20" ht="14.25" customHeight="1" s="25">
      <c r="A20" s="11" t="n">
        <v>2043</v>
      </c>
      <c r="B20" s="11" t="n">
        <v>0</v>
      </c>
      <c r="C20" s="11" t="n">
        <v>0</v>
      </c>
      <c r="D20" s="11" t="n">
        <v>0</v>
      </c>
      <c r="E20" s="11" t="n">
        <v>0</v>
      </c>
      <c r="F20" s="11" t="n">
        <v>0</v>
      </c>
    </row>
    <row r="21" ht="14.25" customHeight="1" s="25">
      <c r="A21" s="11" t="n">
        <v>2044</v>
      </c>
      <c r="B21" s="11" t="n">
        <v>0</v>
      </c>
      <c r="C21" s="11" t="n">
        <v>0</v>
      </c>
      <c r="D21" s="11" t="n">
        <v>0</v>
      </c>
      <c r="E21" s="11" t="n">
        <v>0</v>
      </c>
      <c r="F21" s="11" t="n">
        <v>0</v>
      </c>
    </row>
    <row r="22" ht="14.25" customHeight="1" s="25">
      <c r="A22" s="11" t="n">
        <v>2045</v>
      </c>
      <c r="B22" s="11" t="n">
        <v>0</v>
      </c>
      <c r="C22" s="11" t="n">
        <v>0</v>
      </c>
      <c r="D22" s="11" t="n">
        <v>0</v>
      </c>
      <c r="E22" s="11" t="n">
        <v>0</v>
      </c>
      <c r="F22" s="11" t="n">
        <v>0</v>
      </c>
    </row>
    <row r="23" ht="14.25" customHeight="1" s="25">
      <c r="A23" s="11" t="n">
        <v>2046</v>
      </c>
      <c r="B23" s="11" t="n">
        <v>20</v>
      </c>
      <c r="C23" s="11" t="n">
        <v>0</v>
      </c>
      <c r="D23" s="11" t="n">
        <v>0</v>
      </c>
      <c r="E23" s="11" t="n">
        <v>0</v>
      </c>
      <c r="F23" s="11" t="n">
        <v>0</v>
      </c>
    </row>
    <row r="24" ht="14.25" customHeight="1" s="25">
      <c r="A24" s="11" t="n">
        <v>2047</v>
      </c>
      <c r="B24" s="11" t="n">
        <v>0</v>
      </c>
      <c r="C24" s="11" t="n">
        <v>0</v>
      </c>
      <c r="D24" s="11" t="n">
        <v>0</v>
      </c>
      <c r="E24" s="11" t="n">
        <v>0</v>
      </c>
      <c r="F24" s="11" t="n">
        <v>0</v>
      </c>
    </row>
    <row r="25" ht="14.25" customHeight="1" s="25">
      <c r="A25" s="11" t="n">
        <v>2048</v>
      </c>
      <c r="B25" s="11" t="n">
        <v>0</v>
      </c>
      <c r="C25" s="11" t="n">
        <v>0</v>
      </c>
      <c r="D25" s="11" t="n">
        <v>0</v>
      </c>
      <c r="E25" s="11" t="n">
        <v>0</v>
      </c>
      <c r="F25" s="11" t="n">
        <v>0</v>
      </c>
    </row>
    <row r="26" ht="14.25" customHeight="1" s="25">
      <c r="A26" s="11" t="n">
        <v>2049</v>
      </c>
      <c r="B26" s="11" t="n">
        <v>0</v>
      </c>
      <c r="C26" s="11" t="n">
        <v>0</v>
      </c>
      <c r="D26" s="11" t="n">
        <v>0</v>
      </c>
      <c r="E26" s="11" t="n">
        <v>0</v>
      </c>
      <c r="F26" s="11" t="n">
        <v>0</v>
      </c>
    </row>
    <row r="27" ht="14.25" customHeight="1" s="25">
      <c r="A27" s="11" t="n">
        <v>2050</v>
      </c>
      <c r="B27" s="11" t="n">
        <v>0</v>
      </c>
      <c r="C27" s="11" t="n">
        <v>0</v>
      </c>
      <c r="D27" s="11" t="n">
        <v>0</v>
      </c>
      <c r="E27" s="11" t="n">
        <v>0</v>
      </c>
      <c r="F27" s="11" t="n">
        <v>0</v>
      </c>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27"/>
  <sheetViews>
    <sheetView zoomScaleNormal="100" workbookViewId="0">
      <selection activeCell="J33" sqref="J33"/>
    </sheetView>
  </sheetViews>
  <sheetFormatPr baseColWidth="8" defaultColWidth="8.6328125" defaultRowHeight="14.5"/>
  <cols>
    <col width="14.6328125" customWidth="1" style="25" min="2" max="3"/>
  </cols>
  <sheetData>
    <row r="1" ht="14.25" customHeight="1" s="25">
      <c r="A1" s="10" t="inlineStr">
        <is>
          <t>Y</t>
        </is>
      </c>
      <c r="B1" s="10" t="inlineStr">
        <is>
          <t>Central</t>
        </is>
      </c>
      <c r="C1" s="10" t="inlineStr">
        <is>
          <t>Fast change</t>
        </is>
      </c>
    </row>
    <row r="2" ht="14.25" customHeight="1" s="25">
      <c r="A2" s="11" t="n">
        <v>2025</v>
      </c>
      <c r="B2" s="16" t="n">
        <v>8706000</v>
      </c>
      <c r="C2" s="16" t="n">
        <v>8706000</v>
      </c>
    </row>
    <row r="3" ht="14.25" customHeight="1" s="25">
      <c r="A3" s="11" t="n">
        <v>2026</v>
      </c>
      <c r="B3" s="13" t="n">
        <v>9010710</v>
      </c>
      <c r="C3" s="13" t="n">
        <v>9097770</v>
      </c>
    </row>
    <row r="4" ht="14.25" customHeight="1" s="25">
      <c r="A4" s="11" t="n">
        <v>2027</v>
      </c>
      <c r="B4" s="13" t="n">
        <v>9326084.85</v>
      </c>
      <c r="C4" s="13" t="n">
        <v>9507169.65</v>
      </c>
    </row>
    <row r="5" ht="14.25" customHeight="1" s="25">
      <c r="A5" s="11" t="n">
        <v>2028</v>
      </c>
      <c r="B5" s="13" t="n">
        <v>9652497.82</v>
      </c>
      <c r="C5" s="13" t="n">
        <v>9934992.279999999</v>
      </c>
    </row>
    <row r="6" ht="14.25" customHeight="1" s="25">
      <c r="A6" s="11" t="n">
        <v>2029</v>
      </c>
      <c r="B6" s="13" t="n">
        <v>9990335.24</v>
      </c>
      <c r="C6" s="13" t="n">
        <v>10382066.94</v>
      </c>
    </row>
    <row r="7" ht="14.25" customHeight="1" s="25">
      <c r="A7" s="11" t="n">
        <v>2030</v>
      </c>
      <c r="B7" s="13" t="n">
        <v>10339996.98</v>
      </c>
      <c r="C7" s="13" t="n">
        <v>10849259.95</v>
      </c>
    </row>
    <row r="8" ht="14.25" customHeight="1" s="25">
      <c r="A8" s="11" t="n">
        <v>2031</v>
      </c>
      <c r="B8" s="13" t="n">
        <v>10701896.87</v>
      </c>
      <c r="C8" s="13" t="n">
        <v>11337476.65</v>
      </c>
    </row>
    <row r="9" ht="14.25" customHeight="1" s="25">
      <c r="A9" s="11" t="n">
        <v>2032</v>
      </c>
      <c r="B9" s="13" t="n">
        <v>11076463.26</v>
      </c>
      <c r="C9" s="13" t="n">
        <v>11847663.1</v>
      </c>
    </row>
    <row r="10" ht="14.25" customHeight="1" s="25">
      <c r="A10" s="11" t="n">
        <v>2033</v>
      </c>
      <c r="B10" s="13" t="n">
        <v>11464139.48</v>
      </c>
      <c r="C10" s="13" t="n">
        <v>12380807.94</v>
      </c>
    </row>
    <row r="11" ht="14.25" customHeight="1" s="25">
      <c r="A11" s="11" t="n">
        <v>2034</v>
      </c>
      <c r="B11" s="13" t="n">
        <v>11865384.36</v>
      </c>
      <c r="C11" s="13" t="n">
        <v>12937944.29</v>
      </c>
    </row>
    <row r="12" ht="14.25" customHeight="1" s="25">
      <c r="A12" s="11" t="n">
        <v>2035</v>
      </c>
      <c r="B12" s="13" t="n">
        <v>12280672.81</v>
      </c>
      <c r="C12" s="13" t="n">
        <v>13520151.79</v>
      </c>
    </row>
    <row r="13" ht="14.25" customHeight="1" s="25">
      <c r="A13" s="11" t="n">
        <v>2036</v>
      </c>
      <c r="B13" s="13" t="n">
        <v>12710496.36</v>
      </c>
      <c r="C13" s="13" t="n">
        <v>14128558.62</v>
      </c>
    </row>
    <row r="14" ht="14.25" customHeight="1" s="25">
      <c r="A14" s="11" t="n">
        <v>2037</v>
      </c>
      <c r="B14" s="13" t="n">
        <v>13155363.73</v>
      </c>
      <c r="C14" s="13" t="n">
        <v>14764343.75</v>
      </c>
    </row>
    <row r="15" ht="14.25" customHeight="1" s="25">
      <c r="A15" s="11" t="n">
        <v>2038</v>
      </c>
      <c r="B15" s="13" t="n">
        <v>13615801.46</v>
      </c>
      <c r="C15" s="13" t="n">
        <v>15428739.22</v>
      </c>
    </row>
    <row r="16" ht="14.25" customHeight="1" s="25">
      <c r="A16" s="11" t="n">
        <v>2039</v>
      </c>
      <c r="B16" s="13" t="n">
        <v>14092354.51</v>
      </c>
      <c r="C16" s="13" t="n">
        <v>16123032.49</v>
      </c>
    </row>
    <row r="17" ht="14.25" customHeight="1" s="25">
      <c r="A17" s="11" t="n">
        <v>2040</v>
      </c>
      <c r="B17" s="13" t="n">
        <v>14585586.92</v>
      </c>
      <c r="C17" s="13" t="n">
        <v>16848568.95</v>
      </c>
    </row>
    <row r="18" ht="14.25" customHeight="1" s="25">
      <c r="A18" s="11" t="n">
        <v>2041</v>
      </c>
      <c r="B18" s="13" t="n">
        <v>15096082.46</v>
      </c>
      <c r="C18" s="13" t="n">
        <v>17606754.55</v>
      </c>
    </row>
    <row r="19" ht="14.25" customHeight="1" s="25">
      <c r="A19" s="11" t="n">
        <v>2042</v>
      </c>
      <c r="B19" s="13" t="n">
        <v>15624445.35</v>
      </c>
      <c r="C19" s="13" t="n">
        <v>18399058.51</v>
      </c>
    </row>
    <row r="20" ht="14.25" customHeight="1" s="25">
      <c r="A20" s="11" t="n">
        <v>2043</v>
      </c>
      <c r="B20" s="13" t="n">
        <v>16171300.94</v>
      </c>
      <c r="C20" s="13" t="n">
        <v>19227016.14</v>
      </c>
    </row>
    <row r="21" ht="14.25" customHeight="1" s="25">
      <c r="A21" s="11" t="n">
        <v>2044</v>
      </c>
      <c r="B21" s="13" t="n">
        <v>16737296.47</v>
      </c>
      <c r="C21" s="13" t="n">
        <v>20092231.87</v>
      </c>
    </row>
    <row r="22" ht="14.25" customHeight="1" s="25">
      <c r="A22" s="11" t="n">
        <v>2045</v>
      </c>
      <c r="B22" s="13" t="n">
        <v>17323101.85</v>
      </c>
      <c r="C22" s="13" t="n">
        <v>20996382.3</v>
      </c>
    </row>
    <row r="23" ht="14.25" customHeight="1" s="25">
      <c r="A23" s="11" t="n">
        <v>2046</v>
      </c>
      <c r="B23" s="13" t="n">
        <v>17929410.41</v>
      </c>
      <c r="C23" s="13" t="n">
        <v>21941219.5</v>
      </c>
    </row>
    <row r="24" ht="14.25" customHeight="1" s="25">
      <c r="A24" s="11" t="n">
        <v>2047</v>
      </c>
      <c r="B24" s="13" t="n">
        <v>18556939.77</v>
      </c>
      <c r="C24" s="13" t="n">
        <v>22928574.38</v>
      </c>
    </row>
    <row r="25" ht="14.25" customHeight="1" s="25">
      <c r="A25" s="11" t="n">
        <v>2048</v>
      </c>
      <c r="B25" s="13" t="n">
        <v>19206432.67</v>
      </c>
      <c r="C25" s="13" t="n">
        <v>23960360.23</v>
      </c>
    </row>
    <row r="26" ht="14.25" customHeight="1" s="25">
      <c r="A26" s="11" t="n">
        <v>2049</v>
      </c>
      <c r="B26" s="13" t="n">
        <v>19878657.81</v>
      </c>
      <c r="C26" s="13" t="n">
        <v>25038576.44</v>
      </c>
    </row>
    <row r="27" ht="14.25" customHeight="1" s="25">
      <c r="A27" s="11" t="n">
        <v>2050</v>
      </c>
      <c r="B27" s="13" t="n">
        <v>20574410.83</v>
      </c>
      <c r="C27" s="13" t="n">
        <v>26165312.38</v>
      </c>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31"/>
  <sheetViews>
    <sheetView topLeftCell="A55" zoomScaleNormal="100" workbookViewId="0">
      <selection activeCell="E58" sqref="E58"/>
    </sheetView>
  </sheetViews>
  <sheetFormatPr baseColWidth="8" defaultColWidth="8.6328125" defaultRowHeight="14.5"/>
  <cols>
    <col width="20" customWidth="1" style="25" min="1" max="1"/>
    <col width="18" customWidth="1" style="25" min="2" max="3"/>
    <col width="12" customWidth="1" style="25" min="4" max="4"/>
    <col width="61" bestFit="1" customWidth="1" style="25" min="5" max="5"/>
    <col width="63.36328125" bestFit="1" customWidth="1" style="25" min="6" max="6"/>
  </cols>
  <sheetData>
    <row r="1">
      <c r="A1" t="inlineStr">
        <is>
          <t>Zimbabwe — Data Assumptions and Sources</t>
        </is>
      </c>
    </row>
    <row r="3">
      <c r="A3" t="inlineStr">
        <is>
          <t>All values calibrated to IRENA 2024 Africa, IEA, and World Bank benchmarks.</t>
        </is>
      </c>
    </row>
    <row r="5">
      <c r="A5" t="inlineStr">
        <is>
          <t>--- 1. OPEX (Fixed O&amp;M, $/kW/yr) ---</t>
        </is>
      </c>
    </row>
    <row r="7">
      <c r="A7" t="inlineStr">
        <is>
          <t>Opex values represent fixed annual O&amp;M costs in $/kW/yr.</t>
        </is>
      </c>
    </row>
    <row r="8">
      <c r="A8" t="inlineStr">
        <is>
          <t>The code multiplies by 1000 to convert to $/MW/yr.</t>
        </is>
      </c>
    </row>
    <row r="9">
      <c r="A9" t="inlineStr">
        <is>
          <t>Opnew = 0.80 x Opex (new plant O&amp;M ratio).</t>
        </is>
      </c>
    </row>
    <row r="11">
      <c r="A11" t="inlineStr">
        <is>
          <t>Technology</t>
        </is>
      </c>
      <c r="B11" t="inlineStr">
        <is>
          <t>Opex ($/kW/yr)</t>
        </is>
      </c>
      <c r="C11" t="inlineStr">
        <is>
          <t>Opnew ($/kW/yr)</t>
        </is>
      </c>
      <c r="D11" t="inlineStr">
        <is>
          <t>Source</t>
        </is>
      </c>
    </row>
    <row r="12">
      <c r="A12" t="inlineStr">
        <is>
          <t>Hydro</t>
        </is>
      </c>
      <c r="B12" t="n">
        <v>28</v>
      </c>
      <c r="C12" t="n">
        <v>22.4</v>
      </c>
      <c r="D12" t="inlineStr">
        <is>
          <t>IRENA Africa large hydro: $25-40/kW/yr</t>
        </is>
      </c>
    </row>
    <row r="13">
      <c r="A13" t="inlineStr">
        <is>
          <t>Coal</t>
        </is>
      </c>
      <c r="B13" t="n">
        <v>40</v>
      </c>
      <c r="C13" t="n">
        <v>32</v>
      </c>
      <c r="D13" t="inlineStr">
        <is>
          <t>IEA sub-Saharan coal: $30-55/kW/yr</t>
        </is>
      </c>
    </row>
    <row r="14">
      <c r="A14" t="inlineStr">
        <is>
          <t>Solar</t>
        </is>
      </c>
      <c r="B14" t="n">
        <v>14</v>
      </c>
      <c r="C14" t="n">
        <v>11.2</v>
      </c>
      <c r="D14" t="inlineStr">
        <is>
          <t>IRENA Africa utility PV: $10-20/kW/yr</t>
        </is>
      </c>
    </row>
    <row r="15">
      <c r="A15" t="inlineStr">
        <is>
          <t>Gas (OCGT)</t>
        </is>
      </c>
      <c r="B15" t="n">
        <v>12</v>
      </c>
      <c r="C15" t="n">
        <v>9.6</v>
      </c>
      <c r="D15" t="inlineStr">
        <is>
          <t>IEA OCGT fixed O&amp;M: $8-15/kW/yr</t>
        </is>
      </c>
    </row>
    <row r="16">
      <c r="A16" t="inlineStr">
        <is>
          <t>Bioenergy</t>
        </is>
      </c>
      <c r="B16" t="n">
        <v>42</v>
      </c>
      <c r="C16" t="n">
        <v>33.6</v>
      </c>
      <c r="D16" t="inlineStr">
        <is>
          <t>IRENA sub-Saharan biomass: $35-55/kW/yr</t>
        </is>
      </c>
    </row>
    <row r="18">
      <c r="A18" t="inlineStr">
        <is>
          <t>--- 2. InvCost ($/kW) — CAPEX Trajectories ---</t>
        </is>
      </c>
    </row>
    <row r="20">
      <c r="A20" t="inlineStr">
        <is>
          <t>Technology</t>
        </is>
      </c>
      <c r="B20" t="inlineStr">
        <is>
          <t>2025 ($/kW)</t>
        </is>
      </c>
      <c r="C20" t="inlineStr">
        <is>
          <t>2050 ($/kW)</t>
        </is>
      </c>
      <c r="D20" t="inlineStr">
        <is>
          <t>Trend</t>
        </is>
      </c>
      <c r="E20" t="inlineStr">
        <is>
          <t>Source</t>
        </is>
      </c>
    </row>
    <row r="21">
      <c r="A21" t="inlineStr">
        <is>
          <t>Hydro</t>
        </is>
      </c>
      <c r="B21" t="n">
        <v>1691</v>
      </c>
      <c r="C21" t="n">
        <v>1550</v>
      </c>
      <c r="D21" t="inlineStr">
        <is>
          <t>-0.3%/yr</t>
        </is>
      </c>
      <c r="E21" t="inlineStr">
        <is>
          <t>IRENA range $1,500-3,000/kW</t>
        </is>
      </c>
    </row>
    <row r="22">
      <c r="A22" t="inlineStr">
        <is>
          <t>Coal</t>
        </is>
      </c>
      <c r="B22" t="n">
        <v>1800</v>
      </c>
      <c r="C22" t="n">
        <v>2039</v>
      </c>
      <c r="D22" t="inlineStr">
        <is>
          <t>+0.5%/yr</t>
        </is>
      </c>
      <c r="E22" t="inlineStr">
        <is>
          <t>Sub-Saharan coal $1,500-2,500; rising due to declining coal industry</t>
        </is>
      </c>
    </row>
    <row r="23">
      <c r="A23" t="inlineStr">
        <is>
          <t>Solar</t>
        </is>
      </c>
      <c r="B23" t="n">
        <v>1050</v>
      </c>
      <c r="C23" t="n">
        <v>500</v>
      </c>
      <c r="D23" t="inlineStr">
        <is>
          <t>-2.9%/yr</t>
        </is>
      </c>
      <c r="E23" t="inlineStr">
        <is>
          <t>IRENA Africa avg $1,093 (2024); learning rate ~2.7%/yr</t>
        </is>
      </c>
    </row>
    <row r="24">
      <c r="A24" t="inlineStr">
        <is>
          <t>Gas (OCGT)</t>
        </is>
      </c>
      <c r="B24" t="n">
        <v>1000</v>
      </c>
      <c r="C24" t="n">
        <v>850</v>
      </c>
      <c r="D24" t="inlineStr">
        <is>
          <t>-0.6%/yr</t>
        </is>
      </c>
      <c r="E24" t="inlineStr">
        <is>
          <t>OCGT range $900-1,100/kW; mature technology</t>
        </is>
      </c>
    </row>
    <row r="25">
      <c r="A25" t="inlineStr">
        <is>
          <t>Bioenergy</t>
        </is>
      </c>
      <c r="B25" t="n">
        <v>1800</v>
      </c>
      <c r="C25" t="n">
        <v>1712</v>
      </c>
      <c r="D25" t="inlineStr">
        <is>
          <t>-0.2%/yr</t>
        </is>
      </c>
      <c r="E25" t="inlineStr">
        <is>
          <t>IRENA sub-Saharan $2,000-2,500; lower end due to agro-residue supply</t>
        </is>
      </c>
    </row>
    <row r="27">
      <c r="A27" t="inlineStr">
        <is>
          <t>--- 3. GenCost (Variable Generation Cost, $/MWh) ---</t>
        </is>
      </c>
    </row>
    <row r="29">
      <c r="A29" t="inlineStr">
        <is>
          <t>Technology</t>
        </is>
      </c>
      <c r="B29" t="inlineStr">
        <is>
          <t>Value ($/MWh)</t>
        </is>
      </c>
      <c r="C29" t="inlineStr">
        <is>
          <t>Composition</t>
        </is>
      </c>
      <c r="D29" t="inlineStr">
        <is>
          <t>Source</t>
        </is>
      </c>
    </row>
    <row r="30">
      <c r="A30" t="inlineStr">
        <is>
          <t>Hydro</t>
        </is>
      </c>
      <c r="B30" t="n">
        <v>3.2</v>
      </c>
      <c r="C30" t="inlineStr">
        <is>
          <t>Variable O&amp;M only</t>
        </is>
      </c>
      <c r="D30" t="inlineStr">
        <is>
          <t>Within $2-8/MWh range</t>
        </is>
      </c>
    </row>
    <row r="31">
      <c r="A31" t="inlineStr">
        <is>
          <t>Coal</t>
        </is>
      </c>
      <c r="B31" t="n">
        <v>40</v>
      </c>
      <c r="C31" t="inlineStr">
        <is>
          <t>Fuel (~$43/MWh from Hwange coal at $15-20/t x 2.85 t/MWh) + variable O&amp;M</t>
        </is>
      </c>
      <c r="D31" t="inlineStr">
        <is>
          <t>Within $30-50/MWh range</t>
        </is>
      </c>
    </row>
    <row r="32">
      <c r="A32" t="inlineStr">
        <is>
          <t>Solar</t>
        </is>
      </c>
      <c r="B32" t="n">
        <v>2</v>
      </c>
      <c r="C32" t="inlineStr">
        <is>
          <t>Variable O&amp;M only; no fuel</t>
        </is>
      </c>
      <c r="D32" t="inlineStr">
        <is>
          <t>Within $0-3/MWh range</t>
        </is>
      </c>
    </row>
    <row r="33">
      <c r="A33" t="inlineStr">
        <is>
          <t>Gas (OCGT)</t>
        </is>
      </c>
      <c r="B33" t="n">
        <v>80</v>
      </c>
      <c r="C33" t="inlineStr">
        <is>
          <t>Imported gas ~$8/GJ x 10 GJ/MWh heat rate</t>
        </is>
      </c>
      <c r="D33" t="inlineStr">
        <is>
          <t>Within $60-120/MWh range</t>
        </is>
      </c>
    </row>
    <row r="34">
      <c r="A34" t="inlineStr">
        <is>
          <t>Bioenergy</t>
        </is>
      </c>
      <c r="B34" t="n">
        <v>28</v>
      </c>
      <c r="C34" t="inlineStr">
        <is>
          <t>Biomass feedstock ~$20-22/MWh + variable O&amp;M</t>
        </is>
      </c>
      <c r="D34" t="inlineStr">
        <is>
          <t>Within $20-40/MWh range</t>
        </is>
      </c>
    </row>
    <row r="36">
      <c r="A36" t="inlineStr">
        <is>
          <t>--- 4. Conversion Sheet Parameters ---</t>
        </is>
      </c>
    </row>
    <row r="37">
      <c r="A37" t="inlineStr">
        <is>
          <t>Note. Technology-specific ceilings are long-term planning bounds on installed capacity. They reflect the scale of deployment considered feasible over the 2025-2050 planning horizon, informed by the existing system, development plans, broad resource availability, technology costs, and resource endowment. They are modeling assumptions and not estimates of technical resource potential. The values in this sheet are the ceilings used by the final production simulations.</t>
        </is>
      </c>
    </row>
    <row r="38">
      <c r="A38" t="inlineStr">
        <is>
          <t>Technology</t>
        </is>
      </c>
      <c r="B38" t="inlineStr">
        <is>
          <t>cf*(1-d)</t>
        </is>
      </c>
      <c r="C38" t="inlineStr">
        <is>
          <t>a (hrs)</t>
        </is>
      </c>
      <c r="D38" t="inlineStr">
        <is>
          <t>a_new (hrs)</t>
        </is>
      </c>
      <c r="E38" t="inlineStr">
        <is>
          <t>xinit_ub (MW)</t>
        </is>
      </c>
      <c r="F38" t="inlineStr">
        <is>
          <t>Source</t>
        </is>
      </c>
    </row>
    <row r="39">
      <c r="A39" t="inlineStr">
        <is>
          <t>Hydro</t>
        </is>
      </c>
      <c r="B39" t="inlineStr">
        <is>
          <t>35.0%</t>
        </is>
      </c>
      <c r="C39" t="n">
        <v>3066</v>
      </c>
      <c r="D39" t="n">
        <v>3066</v>
      </c>
      <c r="E39" t="n">
        <v>5000</v>
      </c>
      <c r="F39" t="inlineStr">
        <is>
          <t>Kariba South and the Zambezi project pipeline (Batoka Gorge, Devil's Gorge, small hydro) provide the background. The 5 GW figure is an author-defined planning ceiling on cumulative hydro capacity to 2050.</t>
        </is>
      </c>
    </row>
    <row r="40">
      <c r="A40" t="inlineStr">
        <is>
          <t>Coal</t>
        </is>
      </c>
      <c r="B40" t="inlineStr">
        <is>
          <t>40.0%</t>
        </is>
      </c>
      <c r="C40" t="n">
        <v>3504</v>
      </c>
      <c r="D40" t="n">
        <v>3504</v>
      </c>
      <c r="E40" t="n">
        <v>1900</v>
      </c>
      <c r="F40" t="inlineStr">
        <is>
          <t>Hwange historical availability; ZESA/IEA data; ceiling limits new coal</t>
        </is>
      </c>
    </row>
    <row r="41">
      <c r="A41" t="inlineStr">
        <is>
          <t>Solar</t>
        </is>
      </c>
      <c r="B41" t="inlineStr">
        <is>
          <t>22.5%</t>
        </is>
      </c>
      <c r="C41" t="n">
        <v>1971</v>
      </c>
      <c r="D41" t="n">
        <v>1971</v>
      </c>
      <c r="E41" t="n">
        <v>5000</v>
      </c>
      <c r="F41" t="inlineStr">
        <is>
          <t>GHI ~5.7 kWh/m2/day; World Bank Solar Atlas provides the resource background. The 5 GW figure is an author-defined planning ceiling on cumulative solar capacity to 2050.</t>
        </is>
      </c>
    </row>
    <row r="42">
      <c r="A42" t="inlineStr">
        <is>
          <t>Gas (OCGT)</t>
        </is>
      </c>
      <c r="B42" t="inlineStr">
        <is>
          <t>85.0%</t>
        </is>
      </c>
      <c r="C42" t="n">
        <v>7446</v>
      </c>
      <c r="D42" t="n">
        <v>7446</v>
      </c>
      <c r="E42" t="n">
        <v>3000</v>
      </c>
      <c r="F42" t="inlineStr">
        <is>
          <t>Theoretical max; optimizer dispatches as peaker at lower rates</t>
        </is>
      </c>
    </row>
    <row r="43">
      <c r="A43" t="inlineStr">
        <is>
          <t>Bioenergy</t>
        </is>
      </c>
      <c r="B43" t="inlineStr">
        <is>
          <t>73.0%</t>
        </is>
      </c>
      <c r="C43" t="n">
        <v>6394.8</v>
      </c>
      <c r="D43" t="n">
        <v>6394.8</v>
      </c>
      <c r="E43" t="n">
        <v>1000</v>
      </c>
      <c r="F43" t="inlineStr">
        <is>
          <t>Baseload biomass; FAO/IRENA sustainable potential</t>
        </is>
      </c>
    </row>
    <row r="45">
      <c r="A45" t="inlineStr">
        <is>
          <t>--- 5. Demand ---</t>
        </is>
      </c>
    </row>
    <row r="47">
      <c r="A47" t="inlineStr">
        <is>
          <t>Base year (2025): 8,706,000 MWh (actual Zimbabwe consumption)</t>
        </is>
      </c>
    </row>
    <row r="48">
      <c r="A48" t="inlineStr">
        <is>
          <t>Central scenario: 3.5%/yr growth</t>
        </is>
      </c>
    </row>
    <row r="49">
      <c r="A49" t="inlineStr">
        <is>
          <t>Fast scenario: 4.5%/yr growth</t>
        </is>
      </c>
    </row>
    <row r="50">
      <c r="A50" t="inlineStr">
        <is>
          <t>Other scenarios will be explored in the simulation code.</t>
        </is>
      </c>
    </row>
    <row r="52">
      <c r="A52" t="inlineStr">
        <is>
          <t>--- 6. Retirement Schedule (Coal) ---</t>
        </is>
      </c>
    </row>
    <row r="54">
      <c r="A54" t="inlineStr">
        <is>
          <t>Based on 45-year plant life for Hwange units:</t>
        </is>
      </c>
    </row>
    <row r="55">
      <c r="A55" t="inlineStr">
        <is>
          <t>2028: 220 MW (Units 1-2, commissioned 1983-84)</t>
        </is>
      </c>
    </row>
    <row r="56">
      <c r="A56" t="inlineStr">
        <is>
          <t>2032: 220 MW (Units 3-4, commissioned 1985)</t>
        </is>
      </c>
    </row>
    <row r="57">
      <c r="A57" t="inlineStr">
        <is>
          <t>2037: 220 MW (Units 5-6, commissioned 1987)</t>
        </is>
      </c>
    </row>
    <row r="58">
      <c r="A58" t="inlineStr">
        <is>
          <t>Hwange 7-8 (600 MW, 2023) retire ~2063, beyond model horizon.</t>
        </is>
      </c>
    </row>
    <row r="60">
      <c r="A60" t="inlineStr">
        <is>
          <t>--- 7. Emission Factors (kg CO2e/MWh) ---</t>
        </is>
      </c>
    </row>
    <row r="62">
      <c r="A62" t="inlineStr">
        <is>
          <t>Technology</t>
        </is>
      </c>
      <c r="B62" t="inlineStr">
        <is>
          <t>EM (kg/MWh)</t>
        </is>
      </c>
      <c r="C62" t="inlineStr">
        <is>
          <t>Source</t>
        </is>
      </c>
    </row>
    <row r="63">
      <c r="A63" t="inlineStr">
        <is>
          <t>Hydro</t>
        </is>
      </c>
      <c r="B63" t="n">
        <v>0</v>
      </c>
      <c r="C63" t="inlineStr">
        <is>
          <t>Run-of-river/dam; negligible direct emissions</t>
        </is>
      </c>
    </row>
    <row r="64">
      <c r="A64" t="inlineStr">
        <is>
          <t>Coal</t>
        </is>
      </c>
      <c r="B64" t="n">
        <v>924</v>
      </c>
      <c r="C64" t="inlineStr">
        <is>
          <t>IPCC Tier 1 default for sub-critical coal</t>
        </is>
      </c>
    </row>
    <row r="65">
      <c r="A65" t="inlineStr">
        <is>
          <t>Solar</t>
        </is>
      </c>
      <c r="B65" t="n">
        <v>0</v>
      </c>
      <c r="C65" t="inlineStr">
        <is>
          <t>No direct emissions</t>
        </is>
      </c>
    </row>
    <row r="66">
      <c r="A66" t="inlineStr">
        <is>
          <t>Gas</t>
        </is>
      </c>
      <c r="B66" t="n">
        <v>630</v>
      </c>
      <c r="C66" t="inlineStr">
        <is>
          <t>IPCC natural gas OCGT</t>
        </is>
      </c>
    </row>
    <row r="67">
      <c r="A67" t="inlineStr">
        <is>
          <t>Bioenergy</t>
        </is>
      </c>
      <c r="B67" t="n">
        <v>230</v>
      </c>
      <c r="C67" t="inlineStr">
        <is>
          <t>Lifecycle emissions from agro-residue combustion</t>
        </is>
      </c>
    </row>
    <row r="69">
      <c r="A69" t="inlineStr">
        <is>
          <t>--- 8. Transmission Cost ---</t>
        </is>
      </c>
    </row>
    <row r="71">
      <c r="A71" t="inlineStr">
        <is>
          <t>$5.93/MWh applied uniformly across all technologies.</t>
        </is>
      </c>
    </row>
    <row r="73">
      <c r="A73" t="inlineStr">
        <is>
          <t>--- Sources ---</t>
        </is>
      </c>
    </row>
    <row r="75">
      <c r="A75" t="inlineStr">
        <is>
          <t>IRENA (2025), Renewable Power Generation Costs in 2024, Abu Dhabi</t>
        </is>
      </c>
    </row>
    <row r="76">
      <c r="A76" t="inlineStr">
        <is>
          <t>IEA (2024), World Energy Outlook — Africa Focus</t>
        </is>
      </c>
    </row>
    <row r="77">
      <c r="A77" t="inlineStr">
        <is>
          <t>World Bank ESMAP, Zimbabwe Power Sector Assessment</t>
        </is>
      </c>
    </row>
    <row r="78">
      <c r="A78" t="inlineStr">
        <is>
          <t>ZESA Holdings Annual Reports</t>
        </is>
      </c>
    </row>
    <row r="79">
      <c r="A79" t="inlineStr">
        <is>
          <t>Zimbabwe Energy Regulatory Authority (ZERA) data</t>
        </is>
      </c>
    </row>
    <row r="80">
      <c r="A80" t="inlineStr">
        <is>
          <t>IMF (2024), Zimbabwe Article IV Consultation</t>
        </is>
      </c>
    </row>
    <row r="81">
      <c r="A81" t="inlineStr">
        <is>
          <t>IPCC (2019), Refinement to the 2006 Guidelines for National Greenhouse Gas Inventories</t>
        </is>
      </c>
    </row>
    <row r="83">
      <c r="A83" s="28" t="inlineStr">
        <is>
          <t>— 2025 Audit Updates —</t>
        </is>
      </c>
    </row>
    <row r="84">
      <c r="A84" s="24" t="inlineStr">
        <is>
          <t>Solar CapEx 2025: $1,050 → $900/kW</t>
        </is>
      </c>
    </row>
    <row r="85" ht="60" customHeight="1" s="25">
      <c r="A85" s="27" t="inlineStr">
        <is>
          <t>IRENA 2024: global TIC $691/kW, Asia projection $500/kW by 2026. SADC region: Egypt Benban park $700/kW (2018-2020), South Africa REIPPPP rounds 4-7 averaged $720/kW. Zimbabwe placed at $900/kW reflecting moderate premium for landlocked transport, currency, and EPC scarcity. 2050 endpoint $400/kW reflects continued global learning.</t>
        </is>
      </c>
    </row>
    <row r="87">
      <c r="A87" s="24" t="inlineStr">
        <is>
          <t>Gas Opex: $12 → $20/kW/yr</t>
        </is>
      </c>
    </row>
    <row r="88" ht="60" customHeight="1" s="25">
      <c r="A88" s="27" t="inlineStr">
        <is>
          <t>IRENA SSA reference for new CCGT: $20-25/kW/yr fixed O&amp;M (about 2% of CapEx). The original $12/kW/yr was inconsistent with IRENA benchmarks for gas turbines.</t>
        </is>
      </c>
    </row>
    <row r="90">
      <c r="A90" s="24" t="inlineStr">
        <is>
          <t>Coal fuel (\$/MWh): 0 → $15.3</t>
        </is>
      </c>
    </row>
    <row r="91" ht="60" customHeight="1" s="25">
      <c r="A91" s="27" t="inlineStr">
        <is>
          <t>Hwange sub-bituminous coal: ~$1.7/GJ × 9.0 GJ/MWh heating value = $15.3/MWh fuel cost. Combined with $9.7/MWh var O&amp;M and $15/MWh overhead = $40/MWh GenCost.</t>
        </is>
      </c>
    </row>
    <row r="93">
      <c r="A93" s="24" t="inlineStr">
        <is>
          <t>Coal fuel (\$/GJ): 0 → $1.7</t>
        </is>
      </c>
    </row>
    <row r="94" ht="60" customHeight="1" s="25">
      <c r="A94" s="27" t="inlineStr">
        <is>
          <t>Hwange Colliery sub-bituminous coal mine-mouth price 2023-2024.</t>
        </is>
      </c>
    </row>
    <row r="96">
      <c r="A96" s="24" t="inlineStr">
        <is>
          <t>Gas fuel ($/MWh): 19 → 60</t>
        </is>
      </c>
    </row>
    <row r="97" ht="60" customHeight="1" s="25">
      <c r="A97" s="27" t="inlineStr">
        <is>
          <t>CCGT @ 50% efficiency: 7.5 GJ/MWh × $8/GJ pipeline gas = $60/MWh fuel. The $19/MWh value was internally inconsistent with the $80/MWh GenCost.</t>
        </is>
      </c>
    </row>
    <row r="99">
      <c r="A99" s="24" t="inlineStr">
        <is>
          <t>SRMC convention (per Sun et al. NSW)</t>
        </is>
      </c>
    </row>
    <row r="100" ht="60" customHeight="1" s="25">
      <c r="A100" s="27" t="inlineStr">
        <is>
          <t>SRMC and "variable OPEX" columns are blank for fuel-free renewables (Hydro, Solar) and populated for thermal techs (Coal, Gas) and Bioenergy (which has fuel cost). The model code does not read SRMC; columns are kept for documentation consistency. Previous Coal SRMC=$7.50 and Gas SRMC=$6.50 were incorrect — they should equal GenCost ($40 and $80) since these are fuel-driven thermal plants.</t>
        </is>
      </c>
    </row>
    <row r="102">
      <c r="A102" s="24" t="inlineStr">
        <is>
          <t>Conversion sheet: NSW column structure</t>
        </is>
      </c>
    </row>
    <row r="103" ht="60" customHeight="1" s="25">
      <c r="A103" s="27" t="inlineStr">
        <is>
          <t>Dropped Zimbabwe-specific cap_credit and lag_years columns (not used by code). Added NSW-standard ave_cap and max_cap columns. Filled old_ub (was NaN). All values reflect Zimbabwe operational reality: ave_cap reflects typical project size for new build (Hydro 100 MW = small hydro; Coal 300 MW = Hwange-style unit; Solar 50 MW = utility-scale farm).</t>
        </is>
      </c>
    </row>
    <row r="105">
      <c r="A105" s="24" t="inlineStr">
        <is>
          <t>InvCost($kW) and retirement headers</t>
        </is>
      </c>
    </row>
    <row r="106" ht="60" customHeight="1" s="25">
      <c r="A106" s="27" t="inlineStr">
        <is>
          <t>Renamed first column from "Year" to "Y" to match Sun et al. NSW convention. Removed extra "Average" row and trailing blank from InvCost (was 28 rows; now 26 rows for 2025-2050).</t>
        </is>
      </c>
    </row>
    <row r="108">
      <c r="A108" s="24" t="inlineStr">
        <is>
          <t>What was NOT changed (deliberate user values, audited and confirmed)</t>
        </is>
      </c>
    </row>
    <row r="109" ht="60" customHeight="1" s="25">
      <c r="A109" s="27" t="inlineStr">
        <is>
          <t>All Init capacities (Hydro 1120, Coal 1680, Solar 70, Gas 5, Bio 92), all CFs (0.50/0.55/0.225/0.50/0.55), Hydro/Coal/Gas/Bioenergy CapEx trajectories, GenCost values, EM values (924/630/230), demand path (3.5%/yr CAGR anchored at 8.706 TWh in 2025), retirement schedule (100 MW Coal in 2028, etc.). The xinit_ub limits recorded at that time (3500/1900/10000/3000/1000) were later superseded; see the note at row 111.</t>
        </is>
      </c>
    </row>
    <row r="111">
      <c r="A111" s="28" t="inlineStr">
        <is>
          <t>- 2025 Pathway A notes (SUPERSEDED for the capacity ceilings) - The ceiling reductions described in the rows below were explored during calibration and were NOT adopted. The authoritative planning ceilings are Hydro 5000, Coal 1900, Solar 5000, Gas 3000, Bioenergy 1000 MW, as recorded in the Conversion sheet and section 4 above and as used by the final production simulations. The retirement-schedule and CapEx notes below remain in force.</t>
        </is>
      </c>
    </row>
    <row r="112">
      <c r="A112" s="24" t="inlineStr">
        <is>
          <t>Coal retirement schedule: realistic Hwange aging</t>
        </is>
      </c>
    </row>
    <row r="113" ht="90" customHeight="1" s="25">
      <c r="A113" s="26" t="inlineStr">
        <is>
          <t>Updated from "100 MW in 2028 + 220 MW in 2037" to a unit-by-unit retirement schedule based on actual Hwange Power Station ages: Units 1-2 (commissioned 1983, 38-42 years old in 2025) retire 2026-2027; Units 3-6 (commissioned 1986-1987) retire 2028-2031. Total scheduled retirement of 920 MW over 2026-2031 — units 1-6. Units 7&amp;8 (Hwange Stage III, 600 MW commissioned 2022-2023) remain operational throughout the planning horizon (design life to 2055-2065). Source: ZESA Hwange operational records; SADC Power Pool Generation Mix Report 2024.</t>
        </is>
      </c>
    </row>
    <row r="115">
      <c r="A115" s="24" t="inlineStr">
        <is>
          <t>Solar UB: superseded candidate 3000 MW (not adopted; final ceiling 5000 MW)</t>
        </is>
      </c>
    </row>
    <row r="116" ht="90" customHeight="1" s="25">
      <c r="A116" s="26" t="inlineStr">
        <is>
          <t>Superseded candidate. This note argued for a 3 GW solar ceiling from the IRP 2030 target of about 2 GW extrapolated to 2050. It was not adopted. The final planning ceiling is 5 GW. Source retained as resource and policy background: Zimbabwe National Renewable Energy Policy (2019); ZERA IRP draft 2023.</t>
        </is>
      </c>
    </row>
    <row r="118">
      <c r="A118" s="24" t="inlineStr">
        <is>
          <t>Hydro UB: superseded candidate 2500 MW (not adopted; final ceiling 5000 MW)</t>
        </is>
      </c>
    </row>
    <row r="119" ht="90" customHeight="1" s="25">
      <c r="A119" s="26" t="inlineStr">
        <is>
          <t>Superseded candidate. This note itemized about 2480 MW from Kariba South, Batoka Gorge, Devil's Gorge, Mphoengs and small hydro. It was not adopted. The final planning ceiling is 5 GW. Source retained as background: Zambezi River Authority; ZRA Batoka Gorge Hydroelectric Scheme feasibility 2020.</t>
        </is>
      </c>
    </row>
    <row r="121">
      <c r="A121" s="24" t="inlineStr">
        <is>
          <t>Gas UB: superseded candidate 1500 MW (not adopted; final ceiling 3000 MW)</t>
        </is>
      </c>
    </row>
    <row r="122" ht="90" customHeight="1" s="25">
      <c r="A122" s="26" t="inlineStr">
        <is>
          <t>Superseded candidate. This note argued for a 1-2 GW LNG-fed ceiling given the absence of domestic gas infrastructure. It was not adopted. The final planning ceiling is 3 GW. Source retained as background: African Gas Outlook 2024; Mozambique LNG export trajectory.</t>
        </is>
      </c>
    </row>
    <row r="124">
      <c r="A124" s="24" t="inlineStr">
        <is>
          <t>Bioenergy CapEx: $1786 → $1500/kW (2025); $1712 → $1300/kW (2050)</t>
        </is>
      </c>
    </row>
    <row r="125" ht="90" customHeight="1" s="25">
      <c r="A125" s="26" t="inlineStr">
        <is>
          <t>Lowered to reflect cogeneration co-investment with Zimbabwe sugar industry. Bagasse-based cogen at Triangle, Hippo Valley, and other estates is capital-light when integrated with existing sugar mill steam systems. Pure standalone biomass would be $2000+/kW; integrated cogen ~$1500/kW. Source: IRENA Bioenergy SSA Outlook 2024 (sugar cogen reference range $1200-1800/kW); Zimbabwe Sugar Industries.</t>
        </is>
      </c>
    </row>
    <row r="127">
      <c r="A127" s="24" t="inlineStr">
        <is>
          <t>Bioenergy GenCost: $28 → $18/MWh</t>
        </is>
      </c>
    </row>
    <row r="128" ht="90" customHeight="1" s="25">
      <c r="A128" s="26" t="inlineStr">
        <is>
          <t>Lowered to reflect bagasse opportunity-cost-only fuel pricing. In Zimbabwe sugar industry, bagasse is currently burned for steam/process heat; electricity export uses incremental capacity. Fuel cost = $0.5/GJ opportunity cost × 10 GJ/MWh = $5/MWh. Combined with $8/MWh variable O&amp;M and $5/MWh overhead = $18/MWh GenCost. Previous $28/MWh assumed commercial wood-fuel pricing, which doesn't apply to industrial bagasse. Source: FAO Sustainable Bioenergy Indicators 2024; Triangle Sugar Industry operational data.</t>
        </is>
      </c>
    </row>
    <row r="130">
      <c r="A130" s="24" t="inlineStr">
        <is>
          <t>Note on retirement freedom under Sun et al. formulation</t>
        </is>
      </c>
    </row>
    <row r="131" ht="90" customHeight="1" s="25">
      <c r="A131" s="26" t="inlineStr">
        <is>
          <t>Sun et al. (2025) does not include a minimum-capacity floor for thermal plants — the LP can retire faster than the schedule if economically rational. The retirement schedule provides the MINIMUM scheduled retirement (must happen). Voluntary additional retirement can occur if Solar/Hydro alternatives are cheaper. This is a perfect-foresight artifact of the Sun et al. methodology. We preserve paper-fidelity rather than adding a non-paper minimum-capacity constraint. However, with Solar UB tightened to 3000 MW and Hydro UB to 2500 MW, the cheap-RE potential no longer overwhelms Coal/Bio economically, so they should remain operational over more of the horizon.</t>
        </is>
      </c>
    </row>
  </sheetData>
  <mergeCells count="34">
    <mergeCell ref="A99:F99"/>
    <mergeCell ref="A84:F84"/>
    <mergeCell ref="A108:F108"/>
    <mergeCell ref="A128:F128"/>
    <mergeCell ref="A90:F90"/>
    <mergeCell ref="A118:F118"/>
    <mergeCell ref="A105:F105"/>
    <mergeCell ref="A113:F113"/>
    <mergeCell ref="A85:F85"/>
    <mergeCell ref="A116:F116"/>
    <mergeCell ref="A106:F106"/>
    <mergeCell ref="A97:F97"/>
    <mergeCell ref="A131:F131"/>
    <mergeCell ref="A100:F100"/>
    <mergeCell ref="A122:F122"/>
    <mergeCell ref="A91:F91"/>
    <mergeCell ref="A109:F109"/>
    <mergeCell ref="A96:F96"/>
    <mergeCell ref="A125:F125"/>
    <mergeCell ref="A121:F121"/>
    <mergeCell ref="A115:F115"/>
    <mergeCell ref="A112:F112"/>
    <mergeCell ref="A93:F93"/>
    <mergeCell ref="A102:F102"/>
    <mergeCell ref="A111:F111"/>
    <mergeCell ref="A127:F127"/>
    <mergeCell ref="A83:F83"/>
    <mergeCell ref="A130:F130"/>
    <mergeCell ref="A94:F94"/>
    <mergeCell ref="A103:F103"/>
    <mergeCell ref="A119:F119"/>
    <mergeCell ref="A88:F88"/>
    <mergeCell ref="A124:F124"/>
    <mergeCell ref="A87:F87"/>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4.5"/>
  <cols>
    <col width="14" customWidth="1" style="25" min="1" max="1"/>
    <col width="12" customWidth="1" style="25" min="2" max="2"/>
    <col width="35" customWidth="1" style="25" min="3" max="3"/>
    <col width="28" customWidth="1" style="25" min="4" max="4"/>
    <col width="50" customWidth="1" style="25" min="5" max="6"/>
  </cols>
  <sheetData>
    <row r="1" ht="18.5" customHeight="1" s="25">
      <c r="A1" s="29" t="inlineStr">
        <is>
          <t>Capacity Factor (CF) References — Zimbabwe Power Sector 2025-2050</t>
        </is>
      </c>
    </row>
    <row r="2" ht="60" customHeight="1" s="25">
      <c r="A2" s="27" t="inlineStr">
        <is>
          <t>Long-term planning values for the GEP-SDDP model. Each row documents the value adopted in the Conversion sheet, the operational range observed in real Zimbabwe / regional data, and the primary source. Drought-state values are noted but not used as the baseline planning value, since a 26-year horizon should reflect long-term means rather than current crisis conditions.</t>
        </is>
      </c>
    </row>
    <row r="4" ht="30" customHeight="1" s="25">
      <c r="A4" s="18" t="inlineStr">
        <is>
          <t>Technology</t>
        </is>
      </c>
      <c r="B4" s="18" t="inlineStr">
        <is>
          <t>Adopted CF</t>
        </is>
      </c>
      <c r="C4" s="18" t="inlineStr">
        <is>
          <t>Operational range</t>
        </is>
      </c>
      <c r="D4" s="18" t="inlineStr">
        <is>
          <t>Drought / degraded value</t>
        </is>
      </c>
      <c r="E4" s="18" t="inlineStr">
        <is>
          <t>Justification</t>
        </is>
      </c>
      <c r="F4" s="18" t="inlineStr">
        <is>
          <t>Source(s)</t>
        </is>
      </c>
    </row>
    <row r="5" ht="110" customHeight="1" s="25">
      <c r="A5" s="19" t="inlineStr">
        <is>
          <t>Hydro</t>
        </is>
      </c>
      <c r="B5" s="20" t="inlineStr">
        <is>
          <t>0.50</t>
        </is>
      </c>
      <c r="C5" s="21" t="inlineStr">
        <is>
          <t>0.55–0.80 (ZPC design); 0.54–0.65 (long-term avg pre-drought)</t>
        </is>
      </c>
      <c r="D5" s="21" t="inlineStr">
        <is>
          <t>0.27–0.35 (2022–2023 drought)</t>
        </is>
      </c>
      <c r="E5" s="21" t="inlineStr">
        <is>
          <t>Kariba South Power Station (1050 MW) is the dominant hydro asset. ZPC publishes a design load factor of 0.80 and stated long-term average of 0.55–0.65 in normal hydrological conditions. The Batoka Gorge project (planned 1.2 GW Zimbabwe share) and small hydro additions also operate in the 0.40–0.55 range. The 0.50 value reflects a long-term mean, balanced between drought-affected recent years and historical averages.</t>
        </is>
      </c>
      <c r="F5" s="22" t="inlineStr">
        <is>
          <t>Zimbabwe Power Company (zpc.co.zw/powerstations/2/kariba-south-power-station); Zambezi River Authority hydrological data; CGEP / Columbia University (2023) "The Kariba Dam Is Failing"; IRENA Renewable Energy Statistics 2024 (Sub-Saharan Africa hydro 0.40–0.60).</t>
        </is>
      </c>
    </row>
    <row r="6" ht="110" customHeight="1" s="25">
      <c r="A6" s="19" t="inlineStr">
        <is>
          <t>Coal</t>
        </is>
      </c>
      <c r="B6" s="20" t="inlineStr">
        <is>
          <t>0.55</t>
        </is>
      </c>
      <c r="C6" s="21" t="inlineStr">
        <is>
          <t>0.65 (ZPC stated plant load factor with 0.80 availability); 0.85 (Hwange 7&amp;8 in 2024)</t>
        </is>
      </c>
      <c r="D6" s="21" t="inlineStr">
        <is>
          <t>0.30–0.45 (Hwange 1–6 pre-refurbishment, 2018–2023)</t>
        </is>
      </c>
      <c r="E6" s="21" t="inlineStr">
        <is>
          <t>Hwange Power Station = old units 1–6 (920 MW) + new units 7&amp;8 (600 MW). New units achieved 7,471 utilization hours in 2024 (CF=0.85). Old units have low CF (0.30–0.45) but a US$455M Jindal Steel refurbishment (2024–2027) is expected to extend their operating life and increase their CF to ~0.50. Weighted fleet CF post-refurbishment: ~0.55. Munyati &amp; Bulawayo plants are mostly retired.</t>
        </is>
      </c>
      <c r="F6" s="22" t="inlineStr">
        <is>
          <t>POWERCHINA (en.powerchina.cn/2024-12/04/c_828829.htm) — Hwange 7&amp;8 7,471 utilization hours in 2024; Zimbabwe Power Company (zpc.co.zw/powerstations/1/hwange-power-station) — stated plant load factor 0.65; Engineering News (2024-08-28) — Jindal $800M revamp; Africa News Agency (2025-09-28) — Jindal $455M deal.</t>
        </is>
      </c>
    </row>
    <row r="7" ht="110" customHeight="1" s="25">
      <c r="A7" s="19" t="inlineStr">
        <is>
          <t>Solar</t>
        </is>
      </c>
      <c r="B7" s="20" t="inlineStr">
        <is>
          <t>0.225</t>
        </is>
      </c>
      <c r="C7" s="21" t="inlineStr">
        <is>
          <t>0.20–0.27 (utility-scale, Zimbabwe latitude 17°S)</t>
        </is>
      </c>
      <c r="D7" s="21" t="inlineStr">
        <is>
          <t>—</t>
        </is>
      </c>
      <c r="E7" s="21" t="inlineStr">
        <is>
          <t>Utility-scale fixed-tilt PV at Zimbabwe latitude. GHI ~5.4 kWh/m²/day. Single-axis tracking would give 0.25–0.27 but the conservative fixed-tilt value (0.225) is appropriate for early-horizon deployments. Within IRENA Sub-Saharan Africa reference range. UNCHANGED from original Excel.</t>
        </is>
      </c>
      <c r="F7" s="22" t="inlineStr">
        <is>
          <t>IRENA Renewables Readiness Assessment Zimbabwe (2024); IRENA SADC Solar Potential 2023; Sun et al. (2025) NSW reference 0.27.</t>
        </is>
      </c>
    </row>
    <row r="8" ht="110" customHeight="1" s="25">
      <c r="A8" s="19" t="inlineStr">
        <is>
          <t>Gas</t>
        </is>
      </c>
      <c r="B8" s="20" t="inlineStr">
        <is>
          <t>0.50</t>
        </is>
      </c>
      <c r="C8" s="21" t="inlineStr">
        <is>
          <t>0.50–0.60 (CCGT baseload, IRENA SSA reference); 0.54 (Sun et al. NSW)</t>
        </is>
      </c>
      <c r="D8" s="21" t="inlineStr">
        <is>
          <t>0.10–0.30 (open-cycle peaker)</t>
        </is>
      </c>
      <c r="E8" s="21" t="inlineStr">
        <is>
          <t>Zimbabwe currently has no operational gas plants. Planned facilities (e.g., Mtshabezi 270 MW CCGT) would operate as baseload-to-mid-merit. The original Excel value of 0.85 implies near-continuous baseload operation, which is implausible — no gas plant in the world consistently achieves 0.85 CF due to maintenance, economic dispatch and load-following requirements. The IRENA reference for new CCGT in Sub-Saharan Africa is 0.50–0.60. AEMO uses 0.54 for NSW gas. Adopted: 0.50, midpoint of the realistic CCGT range.</t>
        </is>
      </c>
      <c r="F8" s="22" t="inlineStr">
        <is>
          <t>IRENA Renewables Readiness Assessment 2024; AEMO Integrated System Plan 2024; Sun et al. (2025) NSWSummary.xlsx Conversion sheet (Gas alpha=4744 → CF=0.54).</t>
        </is>
      </c>
    </row>
    <row r="9" ht="110" customHeight="1" s="25">
      <c r="A9" s="19" t="inlineStr">
        <is>
          <t>Bioenergy</t>
        </is>
      </c>
      <c r="B9" s="20" t="inlineStr">
        <is>
          <t>0.55</t>
        </is>
      </c>
      <c r="C9" s="21" t="inlineStr">
        <is>
          <t>0.50–0.65 (mixed bagasse + wood, IRENA SSA)</t>
        </is>
      </c>
      <c r="D9" s="21" t="inlineStr">
        <is>
          <t>0.40–0.55 (bagasse-only, seasonal)</t>
        </is>
      </c>
      <c r="E9" s="21" t="inlineStr">
        <is>
          <t>Zimbabwe biomass portfolio = sugar industry bagasse cogen (Triangle, Hippo Valley) + wood-based biomass. Bagasse cogen runs only during the cane crushing season (~6 months) → CF 0.40–0.55. Wood-pellet base load can hit 0.65–0.85 but is supply-constrained. Mixed portfolio at 0.55 reflects a realistic Zimbabwe-specific blend. The original Excel value of 0.73 implies a wood-pellet-dominant portfolio, which exceeds Zimbabwe biomass supply availability.</t>
        </is>
      </c>
      <c r="F9" s="22" t="inlineStr">
        <is>
          <t>IRENA Bioenergy SSA Outlook 2024; FAO Forestry Outlook Zimbabwe 2023; Triangle Limited / Hippo Valley Estates annual reports (operational CF for bagasse cogen).</t>
        </is>
      </c>
    </row>
    <row r="11">
      <c r="A11" s="28" t="inlineStr">
        <is>
          <t>Notes</t>
        </is>
      </c>
    </row>
    <row r="12" ht="30" customHeight="1" s="25">
      <c r="A12" s="27" t="inlineStr">
        <is>
          <t>1. CFs in this sheet apply to the Conversion!a=cf(1-d)h column. The model uses alpha = CF * 8760 (annual energy yield per MW of nameplate). b=A_0*a and a_new columns are kept internally consistent.</t>
        </is>
      </c>
    </row>
    <row r="13" ht="30" customHeight="1" s="25">
      <c r="A13" s="27" t="inlineStr">
        <is>
          <t>2. The values are LONG-TERM PLANNING values (2025–2050 mean). For drought-state sensitivity analyses, a separate scenario could lower hydro CF to 0.35 and run as a "drought stress test" — but this should not be the baseline.</t>
        </is>
      </c>
    </row>
    <row r="14" ht="30" customHeight="1" s="25">
      <c r="A14" s="27" t="inlineStr">
        <is>
          <t>3. The Conversion sheet retains the original "old_ub" and "xinit_ub" columns unchanged. Only the alpha (annual energy yield) values were updated.</t>
        </is>
      </c>
    </row>
  </sheetData>
  <mergeCells count="5">
    <mergeCell ref="A2:F2"/>
    <mergeCell ref="A13:F13"/>
    <mergeCell ref="A14:F14"/>
    <mergeCell ref="A1:F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2026-01-21T14:34:25Z</dcterms:created>
  <dcterms:modified xmlns:dcterms="http://purl.org/dc/terms/" xmlns:xsi="http://www.w3.org/2001/XMLSchema-instance" xsi:type="dcterms:W3CDTF">2026-09-12T20:54:28Z</dcterms:modified>
  <cp:lastModifiedBy>Arega Getaneh Abate</cp:lastModifiedBy>
  <cp:revision>0</cp:revision>
</cp:coreProperties>
</file>